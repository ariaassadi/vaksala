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cher" sheetId="1" r:id="rId5"/>
    <sheet state="visible" name="Poängligan" sheetId="2" r:id="rId6"/>
    <sheet state="visible" name="Laggenerator med ELO" sheetId="3" r:id="rId7"/>
    <sheet state="visible" name="Torpedo" sheetId="4" r:id="rId8"/>
    <sheet state="visible" name="Spelarstatistik" sheetId="5" r:id="rId9"/>
    <sheet state="hidden" name="Laggenerator" sheetId="6" r:id="rId10"/>
  </sheets>
  <definedNames/>
  <calcPr/>
</workbook>
</file>

<file path=xl/sharedStrings.xml><?xml version="1.0" encoding="utf-8"?>
<sst xmlns="http://schemas.openxmlformats.org/spreadsheetml/2006/main" count="1147" uniqueCount="111">
  <si>
    <t>Knullrunkcupen 2025/2026</t>
  </si>
  <si>
    <t>Matcher</t>
  </si>
  <si>
    <t>Blå</t>
  </si>
  <si>
    <t>Mål</t>
  </si>
  <si>
    <t>Assist</t>
  </si>
  <si>
    <t>Rosa</t>
  </si>
  <si>
    <t>Grön</t>
  </si>
  <si>
    <t>Brun</t>
  </si>
  <si>
    <t>Målvakter</t>
  </si>
  <si>
    <t>Hemma</t>
  </si>
  <si>
    <t>Resultat</t>
  </si>
  <si>
    <t>Borta</t>
  </si>
  <si>
    <t>Vinnare</t>
  </si>
  <si>
    <t>Förlorare</t>
  </si>
  <si>
    <t>Spelare</t>
  </si>
  <si>
    <t>Vinster</t>
  </si>
  <si>
    <t>Förluster</t>
  </si>
  <si>
    <t>Nollor</t>
  </si>
  <si>
    <t>Nollor H</t>
  </si>
  <si>
    <t>Nollor B</t>
  </si>
  <si>
    <t>Gameweek 1</t>
  </si>
  <si>
    <t>Vin.</t>
  </si>
  <si>
    <t>För.</t>
  </si>
  <si>
    <t>Temp</t>
  </si>
  <si>
    <t>Samuel P</t>
  </si>
  <si>
    <t>Daniel K</t>
  </si>
  <si>
    <t>Yvan I</t>
  </si>
  <si>
    <t>Branislav D</t>
  </si>
  <si>
    <t>Albert A</t>
  </si>
  <si>
    <t>Shahir I</t>
  </si>
  <si>
    <t>Emil B</t>
  </si>
  <si>
    <t>Amiin M</t>
  </si>
  <si>
    <t>Milos G</t>
  </si>
  <si>
    <t>Aria A</t>
  </si>
  <si>
    <t>Oskar R</t>
  </si>
  <si>
    <t>Oliver G</t>
  </si>
  <si>
    <t>Jakob S</t>
  </si>
  <si>
    <t>Oskar B</t>
  </si>
  <si>
    <t>Einar D</t>
  </si>
  <si>
    <t>Emil F</t>
  </si>
  <si>
    <t>Pontus S</t>
  </si>
  <si>
    <t>Isak L</t>
  </si>
  <si>
    <t>Jesper N</t>
  </si>
  <si>
    <t>Magnus D</t>
  </si>
  <si>
    <t>Shoresh A</t>
  </si>
  <si>
    <t>Casper W</t>
  </si>
  <si>
    <t>Fredrik C</t>
  </si>
  <si>
    <t>Immanuel A</t>
  </si>
  <si>
    <t>-</t>
  </si>
  <si>
    <t>Eskil K</t>
  </si>
  <si>
    <t>William X</t>
  </si>
  <si>
    <t>Pontus B</t>
  </si>
  <si>
    <t>Sebastian E</t>
  </si>
  <si>
    <t>Benjamin L</t>
  </si>
  <si>
    <t>Mattias R</t>
  </si>
  <si>
    <t>Dennis F</t>
  </si>
  <si>
    <t>Karvan X</t>
  </si>
  <si>
    <t>Daniel Ö</t>
  </si>
  <si>
    <t>Ivan N</t>
  </si>
  <si>
    <t>George T</t>
  </si>
  <si>
    <t>Emil A</t>
  </si>
  <si>
    <t>Moaaz T</t>
  </si>
  <si>
    <t>Ture H</t>
  </si>
  <si>
    <t>Leo F</t>
  </si>
  <si>
    <t>Achillie X</t>
  </si>
  <si>
    <t>George</t>
  </si>
  <si>
    <t>Henrik O</t>
  </si>
  <si>
    <t>Joel C</t>
  </si>
  <si>
    <t>Hampus W</t>
  </si>
  <si>
    <t>Georgios T</t>
  </si>
  <si>
    <t>Jesper H</t>
  </si>
  <si>
    <t>Pelle A</t>
  </si>
  <si>
    <t>Joel A</t>
  </si>
  <si>
    <t>Lucas S</t>
  </si>
  <si>
    <t>Mattias X</t>
  </si>
  <si>
    <t>Jonathan X</t>
  </si>
  <si>
    <t>Gustav X</t>
  </si>
  <si>
    <t>Namn</t>
  </si>
  <si>
    <t>Närvaro</t>
  </si>
  <si>
    <t>PPT</t>
  </si>
  <si>
    <t>Rating</t>
  </si>
  <si>
    <t>Närvarande Spelare</t>
  </si>
  <si>
    <t>Antal lag</t>
  </si>
  <si>
    <t>Random float</t>
  </si>
  <si>
    <t>Random int</t>
  </si>
  <si>
    <t>Random team</t>
  </si>
  <si>
    <t>Svart</t>
  </si>
  <si>
    <t>ELO</t>
  </si>
  <si>
    <t>Isak</t>
  </si>
  <si>
    <t>Ivan</t>
  </si>
  <si>
    <t xml:space="preserve">George </t>
  </si>
  <si>
    <t>Shahir</t>
  </si>
  <si>
    <t>Henrik</t>
  </si>
  <si>
    <t>Gustav?</t>
  </si>
  <si>
    <t xml:space="preserve">Joel </t>
  </si>
  <si>
    <t>Yvan P</t>
  </si>
  <si>
    <t>VSK</t>
  </si>
  <si>
    <t>TBK</t>
  </si>
  <si>
    <t>Jacob S</t>
  </si>
  <si>
    <t>Yvan</t>
  </si>
  <si>
    <t>Vit</t>
  </si>
  <si>
    <t>Erik N</t>
  </si>
  <si>
    <t xml:space="preserve">Oskar W </t>
  </si>
  <si>
    <t>Oskar W</t>
  </si>
  <si>
    <t>Ilir A</t>
  </si>
  <si>
    <t>Isak K</t>
  </si>
  <si>
    <t>Leo K</t>
  </si>
  <si>
    <t>Ali K</t>
  </si>
  <si>
    <t>Noor A</t>
  </si>
  <si>
    <t>Isak H</t>
  </si>
  <si>
    <t>Hawsang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</si>
</sst>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sz val="20.0"/>
      <color theme="1"/>
      <name val="Comfortaa"/>
    </font>
    <font>
      <b/>
      <sz val="12.0"/>
      <color rgb="FFFFFFFF"/>
      <name val="Comfortaa"/>
    </font>
    <font>
      <sz val="9.0"/>
      <color theme="1"/>
      <name val="Comfortaa"/>
    </font>
    <font>
      <b/>
      <sz val="10.0"/>
      <color theme="1"/>
      <name val="Comfortaa"/>
    </font>
    <font>
      <b/>
      <color theme="1"/>
      <name val="Comfortaa"/>
    </font>
    <font>
      <color rgb="FF0E0E0E"/>
      <name val="Arial"/>
      <scheme val="minor"/>
    </font>
    <font>
      <b/>
      <sz val="9.0"/>
      <color theme="1"/>
      <name val="Comfortaa"/>
    </font>
    <font>
      <color theme="1"/>
      <name val="Comfortaa"/>
    </font>
    <font>
      <sz val="9.0"/>
      <color rgb="FF000000"/>
      <name val="Comfortaa"/>
    </font>
    <font>
      <color rgb="FF000000"/>
      <name val="Comfortaa"/>
    </font>
    <font>
      <color theme="1"/>
      <name val="Arial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B7BCBC"/>
        <bgColor rgb="FFB7BCBC"/>
      </patternFill>
    </fill>
    <fill>
      <patternFill patternType="solid">
        <fgColor rgb="FF1E90FF"/>
        <bgColor rgb="FF1E90FF"/>
      </patternFill>
    </fill>
    <fill>
      <patternFill patternType="solid">
        <fgColor rgb="FFFF69B4"/>
        <bgColor rgb="FFFF69B4"/>
      </patternFill>
    </fill>
    <fill>
      <patternFill patternType="solid">
        <fgColor rgb="FF32CD32"/>
        <bgColor rgb="FF32CD32"/>
      </patternFill>
    </fill>
    <fill>
      <patternFill patternType="solid">
        <fgColor rgb="FFB87333"/>
        <bgColor rgb="FFB87333"/>
      </patternFill>
    </fill>
    <fill>
      <patternFill patternType="solid">
        <fgColor rgb="FFFFD700"/>
        <bgColor rgb="FFFFD700"/>
      </patternFill>
    </fill>
    <fill>
      <patternFill patternType="solid">
        <fgColor rgb="FFFBFBFB"/>
        <bgColor rgb="FFFBFBFB"/>
      </patternFill>
    </fill>
    <fill>
      <patternFill patternType="solid">
        <fgColor rgb="FFD6E9FF"/>
        <bgColor rgb="FFD6E9FF"/>
      </patternFill>
    </fill>
    <fill>
      <patternFill patternType="solid">
        <fgColor rgb="FFFFDFEF"/>
        <bgColor rgb="FFFFDFEF"/>
      </patternFill>
    </fill>
    <fill>
      <patternFill patternType="solid">
        <fgColor rgb="FFDFFFD6"/>
        <bgColor rgb="FFDFFFD6"/>
      </patternFill>
    </fill>
    <fill>
      <patternFill patternType="solid">
        <fgColor rgb="FFF8EAD6"/>
        <bgColor rgb="FFF8EAD6"/>
      </patternFill>
    </fill>
    <fill>
      <patternFill patternType="solid">
        <fgColor rgb="FFFFF7CC"/>
        <bgColor rgb="FFFFF7CC"/>
      </patternFill>
    </fill>
    <fill>
      <patternFill patternType="solid">
        <fgColor rgb="FFF3F3F3"/>
        <bgColor rgb="FFF3F3F3"/>
      </patternFill>
    </fill>
  </fills>
  <borders count="1">
    <border/>
  </borders>
  <cellStyleXfs count="1">
    <xf borderId="0" fillId="0" fontId="0" numFmtId="0" applyAlignment="1" applyFont="1"/>
  </cellStyleXfs>
  <cellXfs count="8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/>
    </xf>
    <xf borderId="0" fillId="4" fontId="2" numFmtId="0" xfId="0" applyAlignment="1" applyFill="1" applyFont="1">
      <alignment horizontal="center" readingOrder="0"/>
    </xf>
    <xf borderId="0" fillId="5" fontId="2" numFmtId="0" xfId="0" applyAlignment="1" applyFill="1" applyFont="1">
      <alignment horizontal="center" readingOrder="0"/>
    </xf>
    <xf borderId="0" fillId="6" fontId="2" numFmtId="0" xfId="0" applyAlignment="1" applyFill="1" applyFont="1">
      <alignment horizontal="center" readingOrder="0"/>
    </xf>
    <xf borderId="0" fillId="7" fontId="2" numFmtId="0" xfId="0" applyAlignment="1" applyFill="1" applyFont="1">
      <alignment horizontal="center" readingOrder="0"/>
    </xf>
    <xf borderId="0" fillId="8" fontId="2" numFmtId="0" xfId="0" applyAlignment="1" applyFill="1" applyFont="1">
      <alignment horizontal="center" readingOrder="0"/>
    </xf>
    <xf borderId="0" fillId="9" fontId="3" numFmtId="0" xfId="0" applyAlignment="1" applyFill="1" applyFont="1">
      <alignment horizontal="center" readingOrder="0"/>
    </xf>
    <xf borderId="0" fillId="10" fontId="3" numFmtId="0" xfId="0" applyAlignment="1" applyFill="1" applyFont="1">
      <alignment horizontal="center" readingOrder="0"/>
    </xf>
    <xf borderId="0" fillId="11" fontId="3" numFmtId="0" xfId="0" applyAlignment="1" applyFill="1" applyFont="1">
      <alignment horizontal="center" readingOrder="0"/>
    </xf>
    <xf borderId="0" fillId="12" fontId="3" numFmtId="0" xfId="0" applyAlignment="1" applyFill="1" applyFont="1">
      <alignment horizontal="center" readingOrder="0"/>
    </xf>
    <xf borderId="0" fillId="13" fontId="3" numFmtId="0" xfId="0" applyAlignment="1" applyFill="1" applyFont="1">
      <alignment horizontal="center" readingOrder="0"/>
    </xf>
    <xf borderId="0" fillId="14" fontId="3" numFmtId="0" xfId="0" applyAlignment="1" applyFill="1" applyFont="1">
      <alignment horizontal="center" readingOrder="0"/>
    </xf>
    <xf borderId="0" fillId="9" fontId="4" numFmtId="0" xfId="0" applyAlignment="1" applyFont="1">
      <alignment horizontal="center" readingOrder="0"/>
    </xf>
    <xf borderId="0" fillId="10" fontId="5" numFmtId="0" xfId="0" applyAlignment="1" applyFont="1">
      <alignment horizontal="center" readingOrder="0"/>
    </xf>
    <xf borderId="0" fillId="11" fontId="5" numFmtId="0" xfId="0" applyAlignment="1" applyFont="1">
      <alignment horizontal="center" readingOrder="0"/>
    </xf>
    <xf borderId="0" fillId="12" fontId="5" numFmtId="0" xfId="0" applyAlignment="1" applyFont="1">
      <alignment horizontal="center" readingOrder="0"/>
    </xf>
    <xf borderId="0" fillId="13" fontId="5" numFmtId="0" xfId="0" applyAlignment="1" applyFont="1">
      <alignment horizontal="center" readingOrder="0"/>
    </xf>
    <xf borderId="0" fillId="14" fontId="5" numFmtId="0" xfId="0" applyAlignment="1" applyFont="1">
      <alignment horizontal="center" readingOrder="0"/>
    </xf>
    <xf borderId="0" fillId="9" fontId="3" numFmtId="0" xfId="0" applyAlignment="1" applyFont="1">
      <alignment horizontal="right" readingOrder="0"/>
    </xf>
    <xf borderId="0" fillId="9" fontId="3" numFmtId="0" xfId="0" applyAlignment="1" applyFont="1">
      <alignment readingOrder="0"/>
    </xf>
    <xf borderId="0" fillId="9" fontId="3" numFmtId="0" xfId="0" applyAlignment="1" applyFont="1">
      <alignment horizontal="center"/>
    </xf>
    <xf borderId="0" fillId="10" fontId="3" numFmtId="0" xfId="0" applyAlignment="1" applyFont="1">
      <alignment readingOrder="0"/>
    </xf>
    <xf borderId="0" fillId="10" fontId="3" numFmtId="0" xfId="0" applyAlignment="1" applyFont="1">
      <alignment horizontal="center"/>
    </xf>
    <xf borderId="0" fillId="11" fontId="3" numFmtId="0" xfId="0" applyAlignment="1" applyFont="1">
      <alignment readingOrder="0"/>
    </xf>
    <xf borderId="0" fillId="11" fontId="3" numFmtId="0" xfId="0" applyAlignment="1" applyFont="1">
      <alignment horizontal="center"/>
    </xf>
    <xf borderId="0" fillId="12" fontId="3" numFmtId="0" xfId="0" applyAlignment="1" applyFont="1">
      <alignment readingOrder="0"/>
    </xf>
    <xf borderId="0" fillId="12" fontId="3" numFmtId="0" xfId="0" applyAlignment="1" applyFont="1">
      <alignment horizontal="center"/>
    </xf>
    <xf borderId="0" fillId="13" fontId="3" numFmtId="0" xfId="0" applyAlignment="1" applyFont="1">
      <alignment horizontal="left"/>
    </xf>
    <xf borderId="0" fillId="13" fontId="6" numFmtId="0" xfId="0" applyAlignment="1" applyFont="1">
      <alignment horizontal="center" readingOrder="0"/>
    </xf>
    <xf borderId="0" fillId="13" fontId="3" numFmtId="0" xfId="0" applyAlignment="1" applyFont="1">
      <alignment horizontal="center"/>
    </xf>
    <xf borderId="0" fillId="14" fontId="3" numFmtId="0" xfId="0" applyAlignment="1" applyFont="1">
      <alignment readingOrder="0"/>
    </xf>
    <xf borderId="0" fillId="14" fontId="3" numFmtId="0" xfId="0" applyAlignment="1" applyFont="1">
      <alignment horizontal="center"/>
    </xf>
    <xf borderId="0" fillId="14" fontId="3" numFmtId="0" xfId="0" applyFont="1"/>
    <xf borderId="0" fillId="11" fontId="3" numFmtId="0" xfId="0" applyFont="1"/>
    <xf borderId="0" fillId="12" fontId="3" numFmtId="0" xfId="0" applyFont="1"/>
    <xf borderId="0" fillId="13" fontId="3" numFmtId="0" xfId="0" applyFont="1"/>
    <xf borderId="0" fillId="10" fontId="3" numFmtId="0" xfId="0" applyFont="1"/>
    <xf borderId="0" fillId="9" fontId="3" numFmtId="0" xfId="0" applyAlignment="1" applyFont="1">
      <alignment horizontal="right"/>
    </xf>
    <xf borderId="0" fillId="9" fontId="4" numFmtId="0" xfId="0" applyAlignment="1" applyFont="1">
      <alignment horizontal="center"/>
    </xf>
    <xf borderId="0" fillId="10" fontId="5" numFmtId="0" xfId="0" applyAlignment="1" applyFont="1">
      <alignment horizontal="center"/>
    </xf>
    <xf borderId="0" fillId="11" fontId="5" numFmtId="0" xfId="0" applyAlignment="1" applyFont="1">
      <alignment horizontal="center"/>
    </xf>
    <xf borderId="0" fillId="12" fontId="5" numFmtId="0" xfId="0" applyAlignment="1" applyFont="1">
      <alignment horizontal="center"/>
    </xf>
    <xf borderId="0" fillId="13" fontId="5" numFmtId="0" xfId="0" applyAlignment="1" applyFont="1">
      <alignment horizontal="center"/>
    </xf>
    <xf borderId="0" fillId="14" fontId="5" numFmtId="0" xfId="0" applyAlignment="1" applyFont="1">
      <alignment horizontal="center"/>
    </xf>
    <xf borderId="0" fillId="9" fontId="3" numFmtId="0" xfId="0" applyFont="1"/>
    <xf borderId="0" fillId="9" fontId="3" numFmtId="0" xfId="0" applyAlignment="1" applyFont="1">
      <alignment horizontal="right"/>
    </xf>
    <xf borderId="0" fillId="9" fontId="3" numFmtId="0" xfId="0" applyFont="1"/>
    <xf borderId="0" fillId="10" fontId="3" numFmtId="0" xfId="0" applyFont="1"/>
    <xf borderId="0" fillId="13" fontId="3" numFmtId="0" xfId="0" applyAlignment="1" applyFont="1">
      <alignment horizontal="left" readingOrder="0"/>
    </xf>
    <xf borderId="0" fillId="13" fontId="3" numFmtId="0" xfId="0" applyAlignment="1" applyFont="1">
      <alignment horizontal="left"/>
    </xf>
    <xf borderId="0" fillId="10" fontId="3" numFmtId="0" xfId="0" applyAlignment="1" applyFont="1">
      <alignment readingOrder="0" vertical="bottom"/>
    </xf>
    <xf borderId="0" fillId="11" fontId="3" numFmtId="0" xfId="0" applyAlignment="1" applyFont="1">
      <alignment readingOrder="0" vertical="bottom"/>
    </xf>
    <xf borderId="0" fillId="12" fontId="3" numFmtId="0" xfId="0" applyAlignment="1" applyFont="1">
      <alignment readingOrder="0" vertical="bottom"/>
    </xf>
    <xf borderId="0" fillId="12" fontId="3" numFmtId="0" xfId="0" applyAlignment="1" applyFont="1">
      <alignment vertical="bottom"/>
    </xf>
    <xf borderId="0" fillId="10" fontId="3" numFmtId="0" xfId="0" applyAlignment="1" applyFont="1">
      <alignment vertical="bottom"/>
    </xf>
    <xf borderId="0" fillId="11" fontId="3" numFmtId="0" xfId="0" applyAlignment="1" applyFont="1">
      <alignment vertical="bottom"/>
    </xf>
    <xf borderId="0" fillId="0" fontId="7" numFmtId="0" xfId="0" applyAlignment="1" applyFont="1">
      <alignment horizontal="center" readingOrder="0"/>
    </xf>
    <xf borderId="0" fillId="15" fontId="7" numFmtId="0" xfId="0" applyAlignment="1" applyFill="1" applyFont="1">
      <alignment horizontal="center" readingOrder="0"/>
    </xf>
    <xf borderId="0" fillId="0" fontId="8" numFmtId="0" xfId="0" applyFont="1"/>
    <xf borderId="0" fillId="0" fontId="8" numFmtId="0" xfId="0" applyAlignment="1" applyFont="1">
      <alignment horizontal="right"/>
    </xf>
    <xf borderId="0" fillId="15" fontId="8" numFmtId="0" xfId="0" applyFont="1"/>
    <xf borderId="0" fillId="0" fontId="8" numFmtId="0" xfId="0" applyAlignment="1" applyFont="1">
      <alignment readingOrder="0"/>
    </xf>
    <xf borderId="0" fillId="0" fontId="8" numFmtId="0" xfId="0" applyAlignment="1" applyFont="1">
      <alignment horizontal="right"/>
    </xf>
    <xf borderId="0" fillId="4" fontId="7" numFmtId="0" xfId="0" applyAlignment="1" applyFont="1">
      <alignment horizontal="center" readingOrder="0"/>
    </xf>
    <xf borderId="0" fillId="5" fontId="7" numFmtId="0" xfId="0" applyAlignment="1" applyFont="1">
      <alignment horizontal="center" readingOrder="0"/>
    </xf>
    <xf borderId="0" fillId="6" fontId="7" numFmtId="0" xfId="0" applyAlignment="1" applyFont="1">
      <alignment horizontal="center" readingOrder="0"/>
    </xf>
    <xf borderId="0" fillId="7" fontId="7" numFmtId="0" xfId="0" applyAlignment="1" applyFont="1">
      <alignment horizontal="center" readingOrder="0"/>
    </xf>
    <xf borderId="0" fillId="2" fontId="7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15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/>
    </xf>
    <xf borderId="0" fillId="0" fontId="9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15" fontId="3" numFmtId="0" xfId="0" applyAlignment="1" applyFont="1">
      <alignment readingOrder="0"/>
    </xf>
    <xf borderId="0" fillId="12" fontId="8" numFmtId="0" xfId="0" applyFont="1"/>
    <xf borderId="0" fillId="13" fontId="8" numFmtId="0" xfId="0" applyAlignment="1" applyFont="1">
      <alignment readingOrder="0"/>
    </xf>
    <xf borderId="0" fillId="2" fontId="3" numFmtId="0" xfId="0" applyFont="1"/>
    <xf borderId="0" fillId="12" fontId="8" numFmtId="0" xfId="0" applyAlignment="1" applyFont="1">
      <alignment readingOrder="0"/>
    </xf>
    <xf borderId="0" fillId="13" fontId="8" numFmtId="0" xfId="0" applyFont="1"/>
    <xf borderId="0" fillId="0" fontId="3" numFmtId="0" xfId="0" applyFont="1"/>
    <xf borderId="0" fillId="0" fontId="10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/>
    </xf>
    <xf borderId="0" fillId="14" fontId="8" numFmtId="0" xfId="0" applyFont="1"/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4.38"/>
    <col customWidth="1" min="3" max="3" width="1.88"/>
    <col customWidth="1" min="4" max="4" width="4.38"/>
    <col customWidth="1" min="5" max="5" width="5.38"/>
    <col customWidth="1" hidden="1" min="6" max="7" width="10.13"/>
    <col customWidth="1" min="8" max="8" width="12.63"/>
    <col customWidth="1" min="9" max="10" width="8.25"/>
    <col customWidth="1" hidden="1" min="11" max="12" width="8.25"/>
    <col customWidth="1" min="13" max="13" width="12.63"/>
    <col customWidth="1" min="14" max="15" width="8.25"/>
    <col customWidth="1" hidden="1" min="16" max="17" width="8.25"/>
    <col customWidth="1" min="18" max="18" width="12.63"/>
    <col customWidth="1" min="19" max="20" width="8.25"/>
    <col customWidth="1" hidden="1" min="21" max="22" width="8.25"/>
    <col customWidth="1" min="23" max="23" width="12.63"/>
    <col customWidth="1" min="24" max="25" width="8.25"/>
    <col customWidth="1" hidden="1" min="26" max="27" width="8.25"/>
    <col customWidth="1" min="28" max="28" width="7.38"/>
    <col customWidth="1" min="29" max="29" width="12.63"/>
    <col customWidth="1" min="30" max="31" width="8.25"/>
    <col customWidth="1" hidden="1" min="32" max="38" width="8.25"/>
  </cols>
  <sheetData>
    <row r="1">
      <c r="A1" s="1" t="s">
        <v>0</v>
      </c>
    </row>
    <row r="2">
      <c r="A2" s="2" t="s">
        <v>1</v>
      </c>
      <c r="H2" s="3" t="s">
        <v>2</v>
      </c>
      <c r="I2" s="3" t="s">
        <v>3</v>
      </c>
      <c r="J2" s="3" t="s">
        <v>4</v>
      </c>
      <c r="K2" s="3"/>
      <c r="L2" s="3"/>
      <c r="M2" s="4" t="s">
        <v>5</v>
      </c>
      <c r="N2" s="4" t="s">
        <v>3</v>
      </c>
      <c r="O2" s="4" t="s">
        <v>4</v>
      </c>
      <c r="P2" s="4"/>
      <c r="Q2" s="4"/>
      <c r="R2" s="5" t="s">
        <v>6</v>
      </c>
      <c r="S2" s="5" t="s">
        <v>3</v>
      </c>
      <c r="T2" s="5" t="s">
        <v>4</v>
      </c>
      <c r="U2" s="5"/>
      <c r="V2" s="5"/>
      <c r="W2" s="6" t="s">
        <v>7</v>
      </c>
      <c r="AB2" s="7" t="s">
        <v>8</v>
      </c>
      <c r="AD2" s="7" t="s">
        <v>3</v>
      </c>
      <c r="AE2" s="7" t="s">
        <v>4</v>
      </c>
      <c r="AF2" s="7"/>
      <c r="AG2" s="7"/>
      <c r="AH2" s="7"/>
      <c r="AI2" s="7"/>
      <c r="AJ2" s="7"/>
      <c r="AK2" s="7"/>
      <c r="AL2" s="7"/>
    </row>
    <row r="3" ht="1.5" customHeight="1">
      <c r="A3" s="8" t="s">
        <v>9</v>
      </c>
      <c r="B3" s="8" t="s">
        <v>10</v>
      </c>
      <c r="E3" s="8" t="s">
        <v>11</v>
      </c>
      <c r="F3" s="8" t="s">
        <v>12</v>
      </c>
      <c r="G3" s="8" t="s">
        <v>13</v>
      </c>
      <c r="H3" s="9" t="s">
        <v>14</v>
      </c>
      <c r="I3" s="9" t="s">
        <v>3</v>
      </c>
      <c r="J3" s="9" t="s">
        <v>4</v>
      </c>
      <c r="K3" s="9" t="s">
        <v>15</v>
      </c>
      <c r="L3" s="9" t="s">
        <v>16</v>
      </c>
      <c r="M3" s="10" t="s">
        <v>14</v>
      </c>
      <c r="N3" s="10" t="s">
        <v>3</v>
      </c>
      <c r="O3" s="10" t="s">
        <v>4</v>
      </c>
      <c r="P3" s="10" t="s">
        <v>15</v>
      </c>
      <c r="Q3" s="10" t="s">
        <v>16</v>
      </c>
      <c r="R3" s="11" t="s">
        <v>14</v>
      </c>
      <c r="S3" s="11" t="s">
        <v>3</v>
      </c>
      <c r="T3" s="11" t="s">
        <v>4</v>
      </c>
      <c r="U3" s="11" t="s">
        <v>15</v>
      </c>
      <c r="V3" s="11" t="s">
        <v>16</v>
      </c>
      <c r="W3" s="12" t="s">
        <v>14</v>
      </c>
      <c r="X3" s="12" t="s">
        <v>3</v>
      </c>
      <c r="Y3" s="12" t="s">
        <v>4</v>
      </c>
      <c r="Z3" s="12"/>
      <c r="AA3" s="12"/>
      <c r="AB3" s="13" t="s">
        <v>14</v>
      </c>
      <c r="AD3" s="13" t="s">
        <v>3</v>
      </c>
      <c r="AE3" s="13" t="s">
        <v>4</v>
      </c>
      <c r="AF3" s="13" t="s">
        <v>15</v>
      </c>
      <c r="AG3" s="13" t="s">
        <v>16</v>
      </c>
      <c r="AH3" s="13" t="s">
        <v>17</v>
      </c>
      <c r="AI3" s="13"/>
      <c r="AJ3" s="13"/>
      <c r="AK3" s="13" t="s">
        <v>18</v>
      </c>
      <c r="AL3" s="13" t="s">
        <v>19</v>
      </c>
    </row>
    <row r="4">
      <c r="A4" s="14" t="s">
        <v>20</v>
      </c>
      <c r="F4" s="14"/>
      <c r="G4" s="14"/>
      <c r="H4" s="15" t="str">
        <f>A4</f>
        <v>Gameweek 1</v>
      </c>
      <c r="K4" s="15" t="s">
        <v>21</v>
      </c>
      <c r="L4" s="15" t="s">
        <v>22</v>
      </c>
      <c r="M4" s="16" t="s">
        <v>20</v>
      </c>
      <c r="P4" s="16" t="s">
        <v>21</v>
      </c>
      <c r="Q4" s="16" t="s">
        <v>22</v>
      </c>
      <c r="R4" s="17" t="str">
        <f>A4</f>
        <v>Gameweek 1</v>
      </c>
      <c r="U4" s="17" t="s">
        <v>21</v>
      </c>
      <c r="V4" s="17" t="s">
        <v>22</v>
      </c>
      <c r="W4" s="18" t="str">
        <f>A4</f>
        <v>Gameweek 1</v>
      </c>
      <c r="Z4" s="18" t="s">
        <v>21</v>
      </c>
      <c r="AA4" s="18" t="s">
        <v>22</v>
      </c>
      <c r="AB4" s="19" t="str">
        <f>A4</f>
        <v>Gameweek 1</v>
      </c>
      <c r="AF4" s="19" t="s">
        <v>21</v>
      </c>
      <c r="AG4" s="19" t="s">
        <v>22</v>
      </c>
      <c r="AH4" s="19" t="s">
        <v>17</v>
      </c>
      <c r="AI4" s="19" t="s">
        <v>23</v>
      </c>
    </row>
    <row r="5">
      <c r="A5" s="20" t="s">
        <v>2</v>
      </c>
      <c r="B5" s="8">
        <v>0.0</v>
      </c>
      <c r="C5" s="8" t="str">
        <f t="shared" ref="C5:C22" si="1">IF(ISBLANK(A5), "", "-")
</f>
        <v>-</v>
      </c>
      <c r="D5" s="8">
        <v>1.0</v>
      </c>
      <c r="E5" s="21" t="s">
        <v>5</v>
      </c>
      <c r="F5" s="22" t="str">
        <f t="shared" ref="F5:F22" si="2">IF(AND(B5 &lt;&gt; "", D5 &lt;&gt; ""), IF(B5 &gt; D5, A5, IF(D5 &gt; B5, E5, "Oavgjort")), "")</f>
        <v>Rosa</v>
      </c>
      <c r="G5" s="22" t="str">
        <f t="shared" ref="G5:G22" si="3">IF(AND(B5 &lt;&gt; "", D5 &lt;&gt; ""), IF(B5 &lt; D5, A5, IF(D5 &lt; B5, E5, "Oavgjort")), "")
</f>
        <v>Blå</v>
      </c>
      <c r="H5" s="23" t="s">
        <v>24</v>
      </c>
      <c r="I5" s="9">
        <v>2.0</v>
      </c>
      <c r="J5" s="9">
        <v>0.0</v>
      </c>
      <c r="K5" s="24">
        <f t="array" ref="K5:K22">IF(SEQUENCE(18, 1), COUNTIF(F5:F22, $H$2))
</f>
        <v>4</v>
      </c>
      <c r="L5" s="24">
        <f t="array" ref="L5:L22">IF(SEQUENCE(18, 1), COUNTIF(G5:G22, $H$2))
</f>
        <v>5</v>
      </c>
      <c r="M5" s="25" t="s">
        <v>25</v>
      </c>
      <c r="N5" s="10">
        <v>0.0</v>
      </c>
      <c r="O5" s="10">
        <v>1.0</v>
      </c>
      <c r="P5" s="26">
        <f t="array" ref="P5:P22">IF(SEQUENCE(18, 1), COUNTIF(F5:F22, $M$2))
</f>
        <v>5</v>
      </c>
      <c r="Q5" s="26">
        <f t="array" ref="Q5:Q22">IF(SEQUENCE(18, 1), COUNTIF(G5:G22, $M$2))
</f>
        <v>4</v>
      </c>
      <c r="R5" s="27" t="s">
        <v>26</v>
      </c>
      <c r="S5" s="11">
        <v>0.0</v>
      </c>
      <c r="T5" s="11">
        <v>0.0</v>
      </c>
      <c r="U5" s="28">
        <f t="array" ref="U5:U22">IF(SEQUENCE(18, 1), COUNTIF(F5:F22, $R$2))
</f>
        <v>0</v>
      </c>
      <c r="V5" s="28">
        <f t="array" ref="V5:V22">IF(SEQUENCE(18, 1), COUNTIF(G5:G22, $R$2))
</f>
        <v>0</v>
      </c>
      <c r="W5" s="29"/>
      <c r="X5" s="30">
        <v>0.0</v>
      </c>
      <c r="Y5" s="30">
        <v>0.0</v>
      </c>
      <c r="Z5" s="31">
        <f t="array" ref="Z5:Z22">IF(SEQUENCE(18, 1), COUNTIF(F5:F22, $W$2))
</f>
        <v>0</v>
      </c>
      <c r="AA5" s="31">
        <f t="array" ref="AA5:AA22">IF(SEQUENCE(18, 1), COUNTIF(G5:G22, $W$2))
</f>
        <v>0</v>
      </c>
      <c r="AB5" s="32" t="s">
        <v>9</v>
      </c>
      <c r="AC5" s="32" t="s">
        <v>27</v>
      </c>
      <c r="AD5" s="13">
        <v>0.0</v>
      </c>
      <c r="AE5" s="13">
        <v>1.0</v>
      </c>
      <c r="AF5" s="13">
        <f>IF(AB5 = "Borta", AJ5, (IF(AB5 = "Hemma", AI5, 0)))</f>
        <v>4</v>
      </c>
      <c r="AG5" s="13">
        <v>5.0</v>
      </c>
      <c r="AH5" s="33">
        <f t="shared" ref="AH5:AH22" si="4">IF(AB5 = "Borta", AK5, (IF(AB5 = "Hemma", AL5, 0)))</f>
        <v>3</v>
      </c>
      <c r="AI5" s="33">
        <f t="array" ref="AI5:AI22">IF(F5 &lt;&gt; "",
     SEQUENCE(18,1,1,0)*SUM(IF(A5:A22 = F5:F22, 1, 0)),
     SEQUENCE(18,1,0,0)
  )</f>
        <v>4</v>
      </c>
      <c r="AJ5" s="33">
        <f t="array" ref="AJ5:AJ22">IF(G5 &lt;&gt; "",
     SEQUENCE(18,1,1,0)*SUM(IF(E5:E22 = F5:F22, 1, 0)),
     SEQUENCE(18,1,0,0)
  )</f>
        <v>9</v>
      </c>
      <c r="AK5" s="33">
        <f t="array" ref="AK5:AK22">IF(SEQUENCE(18, 1), COUNTIF(B5:B22, 0))</f>
        <v>7</v>
      </c>
      <c r="AL5" s="33">
        <f t="array" ref="AL5:AL22">IF(SEQUENCE(18, 1), COUNTIF(D5:D22, 0))</f>
        <v>3</v>
      </c>
    </row>
    <row r="6">
      <c r="A6" s="20" t="s">
        <v>2</v>
      </c>
      <c r="B6" s="8">
        <v>0.0</v>
      </c>
      <c r="C6" s="8" t="str">
        <f t="shared" si="1"/>
        <v>-</v>
      </c>
      <c r="D6" s="8">
        <v>2.0</v>
      </c>
      <c r="E6" s="21" t="s">
        <v>5</v>
      </c>
      <c r="F6" s="22" t="str">
        <f t="shared" si="2"/>
        <v>Rosa</v>
      </c>
      <c r="G6" s="22" t="str">
        <f t="shared" si="3"/>
        <v>Blå</v>
      </c>
      <c r="H6" s="23" t="s">
        <v>28</v>
      </c>
      <c r="I6" s="9">
        <v>0.0</v>
      </c>
      <c r="J6" s="9">
        <v>0.0</v>
      </c>
      <c r="K6" s="24">
        <v>4.0</v>
      </c>
      <c r="L6" s="24">
        <v>5.0</v>
      </c>
      <c r="M6" s="25" t="s">
        <v>29</v>
      </c>
      <c r="N6" s="10">
        <v>0.0</v>
      </c>
      <c r="O6" s="10">
        <v>0.0</v>
      </c>
      <c r="P6" s="26">
        <v>5.0</v>
      </c>
      <c r="Q6" s="26">
        <v>4.0</v>
      </c>
      <c r="R6" s="27"/>
      <c r="S6" s="11">
        <v>0.0</v>
      </c>
      <c r="T6" s="11">
        <v>0.0</v>
      </c>
      <c r="U6" s="28">
        <v>0.0</v>
      </c>
      <c r="V6" s="28">
        <v>0.0</v>
      </c>
      <c r="W6" s="29"/>
      <c r="X6" s="30">
        <v>0.0</v>
      </c>
      <c r="Y6" s="30">
        <v>0.0</v>
      </c>
      <c r="Z6" s="31">
        <v>0.0</v>
      </c>
      <c r="AA6" s="31">
        <v>0.0</v>
      </c>
      <c r="AB6" s="32" t="s">
        <v>11</v>
      </c>
      <c r="AC6" s="32" t="s">
        <v>30</v>
      </c>
      <c r="AD6" s="13">
        <v>0.0</v>
      </c>
      <c r="AE6" s="13">
        <v>0.0</v>
      </c>
      <c r="AF6" s="13">
        <v>5.0</v>
      </c>
      <c r="AG6" s="33">
        <f t="shared" ref="AG6:AG22" si="5">IF(AB6 = "Hemma", AJ6, (IF(AB6 = "Borta", AI6, 0)))</f>
        <v>4</v>
      </c>
      <c r="AH6" s="33">
        <f t="shared" si="4"/>
        <v>7</v>
      </c>
      <c r="AI6" s="33">
        <v>4.0</v>
      </c>
      <c r="AJ6" s="33">
        <v>9.0</v>
      </c>
      <c r="AK6" s="33">
        <v>7.0</v>
      </c>
      <c r="AL6" s="33">
        <v>3.0</v>
      </c>
    </row>
    <row r="7">
      <c r="A7" s="20" t="s">
        <v>2</v>
      </c>
      <c r="B7" s="8">
        <v>0.0</v>
      </c>
      <c r="C7" s="8" t="str">
        <f t="shared" si="1"/>
        <v>-</v>
      </c>
      <c r="D7" s="8">
        <v>0.0</v>
      </c>
      <c r="E7" s="21" t="s">
        <v>5</v>
      </c>
      <c r="F7" s="22" t="str">
        <f t="shared" si="2"/>
        <v>Oavgjort</v>
      </c>
      <c r="G7" s="22" t="str">
        <f t="shared" si="3"/>
        <v>Oavgjort</v>
      </c>
      <c r="H7" s="23" t="s">
        <v>31</v>
      </c>
      <c r="I7" s="9">
        <v>3.0</v>
      </c>
      <c r="J7" s="9">
        <v>3.0</v>
      </c>
      <c r="K7" s="24">
        <v>4.0</v>
      </c>
      <c r="L7" s="24">
        <v>5.0</v>
      </c>
      <c r="M7" s="25" t="s">
        <v>32</v>
      </c>
      <c r="N7" s="10">
        <v>5.0</v>
      </c>
      <c r="O7" s="10">
        <v>3.0</v>
      </c>
      <c r="P7" s="26">
        <v>5.0</v>
      </c>
      <c r="Q7" s="26">
        <v>4.0</v>
      </c>
      <c r="R7" s="27"/>
      <c r="S7" s="11">
        <v>0.0</v>
      </c>
      <c r="T7" s="11">
        <v>0.0</v>
      </c>
      <c r="U7" s="28">
        <v>0.0</v>
      </c>
      <c r="V7" s="28">
        <v>0.0</v>
      </c>
      <c r="W7" s="29"/>
      <c r="X7" s="30">
        <v>0.0</v>
      </c>
      <c r="Y7" s="30">
        <v>0.0</v>
      </c>
      <c r="Z7" s="31">
        <v>0.0</v>
      </c>
      <c r="AA7" s="31">
        <v>0.0</v>
      </c>
      <c r="AB7" s="34"/>
      <c r="AF7" s="13">
        <f t="shared" ref="AF7:AF22" si="6">IF(AB7 = "Borta", AJ7, (IF(AB7 = "Hemma", AI7, 0)))</f>
        <v>0</v>
      </c>
      <c r="AG7" s="33">
        <f t="shared" si="5"/>
        <v>0</v>
      </c>
      <c r="AH7" s="33">
        <f t="shared" si="4"/>
        <v>0</v>
      </c>
      <c r="AI7" s="33">
        <v>4.0</v>
      </c>
      <c r="AJ7" s="33">
        <v>9.0</v>
      </c>
      <c r="AK7" s="33">
        <v>7.0</v>
      </c>
      <c r="AL7" s="33">
        <v>3.0</v>
      </c>
    </row>
    <row r="8">
      <c r="A8" s="20" t="s">
        <v>2</v>
      </c>
      <c r="B8" s="8">
        <v>0.0</v>
      </c>
      <c r="C8" s="8" t="str">
        <f t="shared" si="1"/>
        <v>-</v>
      </c>
      <c r="D8" s="8">
        <v>2.0</v>
      </c>
      <c r="E8" s="21" t="s">
        <v>5</v>
      </c>
      <c r="F8" s="22" t="str">
        <f t="shared" si="2"/>
        <v>Rosa</v>
      </c>
      <c r="G8" s="22" t="str">
        <f t="shared" si="3"/>
        <v>Blå</v>
      </c>
      <c r="H8" s="23" t="s">
        <v>33</v>
      </c>
      <c r="I8" s="9">
        <v>0.0</v>
      </c>
      <c r="J8" s="9">
        <v>1.0</v>
      </c>
      <c r="K8" s="24">
        <v>4.0</v>
      </c>
      <c r="L8" s="24">
        <v>5.0</v>
      </c>
      <c r="M8" s="25" t="s">
        <v>34</v>
      </c>
      <c r="N8" s="10">
        <v>2.0</v>
      </c>
      <c r="O8" s="10">
        <v>1.0</v>
      </c>
      <c r="P8" s="26">
        <v>5.0</v>
      </c>
      <c r="Q8" s="26">
        <v>4.0</v>
      </c>
      <c r="R8" s="27"/>
      <c r="S8" s="11">
        <v>0.0</v>
      </c>
      <c r="T8" s="11">
        <v>0.0</v>
      </c>
      <c r="U8" s="28">
        <v>0.0</v>
      </c>
      <c r="V8" s="28">
        <v>0.0</v>
      </c>
      <c r="W8" s="29"/>
      <c r="X8" s="30">
        <v>0.0</v>
      </c>
      <c r="Y8" s="30">
        <v>0.0</v>
      </c>
      <c r="Z8" s="31">
        <v>0.0</v>
      </c>
      <c r="AA8" s="31">
        <v>0.0</v>
      </c>
      <c r="AF8" s="13">
        <f t="shared" si="6"/>
        <v>0</v>
      </c>
      <c r="AG8" s="33">
        <f t="shared" si="5"/>
        <v>0</v>
      </c>
      <c r="AH8" s="33">
        <f t="shared" si="4"/>
        <v>0</v>
      </c>
      <c r="AI8" s="33">
        <v>4.0</v>
      </c>
      <c r="AJ8" s="33">
        <v>9.0</v>
      </c>
      <c r="AK8" s="33">
        <v>7.0</v>
      </c>
      <c r="AL8" s="33">
        <v>3.0</v>
      </c>
    </row>
    <row r="9">
      <c r="A9" s="20" t="s">
        <v>5</v>
      </c>
      <c r="B9" s="8">
        <v>1.0</v>
      </c>
      <c r="C9" s="8" t="str">
        <f t="shared" si="1"/>
        <v>-</v>
      </c>
      <c r="D9" s="8">
        <v>0.0</v>
      </c>
      <c r="E9" s="21" t="s">
        <v>2</v>
      </c>
      <c r="F9" s="22" t="str">
        <f t="shared" si="2"/>
        <v>Rosa</v>
      </c>
      <c r="G9" s="22" t="str">
        <f t="shared" si="3"/>
        <v>Blå</v>
      </c>
      <c r="H9" s="23" t="s">
        <v>35</v>
      </c>
      <c r="I9" s="9">
        <v>0.0</v>
      </c>
      <c r="J9" s="9">
        <v>0.0</v>
      </c>
      <c r="K9" s="24">
        <v>4.0</v>
      </c>
      <c r="L9" s="24">
        <v>5.0</v>
      </c>
      <c r="M9" s="25" t="s">
        <v>36</v>
      </c>
      <c r="N9" s="10">
        <v>2.0</v>
      </c>
      <c r="O9" s="10">
        <v>3.0</v>
      </c>
      <c r="P9" s="26">
        <v>5.0</v>
      </c>
      <c r="Q9" s="26">
        <v>4.0</v>
      </c>
      <c r="R9" s="27"/>
      <c r="S9" s="11">
        <v>0.0</v>
      </c>
      <c r="T9" s="11">
        <v>0.0</v>
      </c>
      <c r="U9" s="28">
        <v>0.0</v>
      </c>
      <c r="V9" s="28">
        <v>0.0</v>
      </c>
      <c r="W9" s="29"/>
      <c r="X9" s="30">
        <v>0.0</v>
      </c>
      <c r="Y9" s="30">
        <v>0.0</v>
      </c>
      <c r="Z9" s="31">
        <v>0.0</v>
      </c>
      <c r="AA9" s="31">
        <v>0.0</v>
      </c>
      <c r="AF9" s="13">
        <f t="shared" si="6"/>
        <v>0</v>
      </c>
      <c r="AG9" s="33">
        <f t="shared" si="5"/>
        <v>0</v>
      </c>
      <c r="AH9" s="33">
        <f t="shared" si="4"/>
        <v>0</v>
      </c>
      <c r="AI9" s="33">
        <v>4.0</v>
      </c>
      <c r="AJ9" s="33">
        <v>9.0</v>
      </c>
      <c r="AK9" s="33">
        <v>7.0</v>
      </c>
      <c r="AL9" s="33">
        <v>3.0</v>
      </c>
    </row>
    <row r="10">
      <c r="A10" s="20" t="s">
        <v>5</v>
      </c>
      <c r="B10" s="8">
        <v>1.0</v>
      </c>
      <c r="C10" s="8" t="str">
        <f t="shared" si="1"/>
        <v>-</v>
      </c>
      <c r="D10" s="8">
        <v>3.0</v>
      </c>
      <c r="E10" s="21" t="s">
        <v>2</v>
      </c>
      <c r="F10" s="22" t="str">
        <f t="shared" si="2"/>
        <v>Blå</v>
      </c>
      <c r="G10" s="22" t="str">
        <f t="shared" si="3"/>
        <v>Rosa</v>
      </c>
      <c r="H10" s="23" t="s">
        <v>37</v>
      </c>
      <c r="I10" s="9">
        <v>2.0</v>
      </c>
      <c r="J10" s="9">
        <v>2.0</v>
      </c>
      <c r="K10" s="24">
        <v>4.0</v>
      </c>
      <c r="L10" s="24">
        <v>5.0</v>
      </c>
      <c r="M10" s="35"/>
      <c r="P10" s="26">
        <v>5.0</v>
      </c>
      <c r="Q10" s="26">
        <v>4.0</v>
      </c>
      <c r="R10" s="36"/>
      <c r="U10" s="28">
        <v>0.0</v>
      </c>
      <c r="V10" s="28">
        <v>0.0</v>
      </c>
      <c r="W10" s="37"/>
      <c r="Z10" s="31">
        <v>0.0</v>
      </c>
      <c r="AA10" s="31">
        <v>0.0</v>
      </c>
      <c r="AF10" s="13">
        <f t="shared" si="6"/>
        <v>0</v>
      </c>
      <c r="AG10" s="33">
        <f t="shared" si="5"/>
        <v>0</v>
      </c>
      <c r="AH10" s="33">
        <f t="shared" si="4"/>
        <v>0</v>
      </c>
      <c r="AI10" s="33">
        <v>4.0</v>
      </c>
      <c r="AJ10" s="33">
        <v>9.0</v>
      </c>
      <c r="AK10" s="33">
        <v>7.0</v>
      </c>
      <c r="AL10" s="33">
        <v>3.0</v>
      </c>
    </row>
    <row r="11">
      <c r="A11" s="20" t="s">
        <v>5</v>
      </c>
      <c r="B11" s="8">
        <v>0.0</v>
      </c>
      <c r="C11" s="8" t="str">
        <f t="shared" si="1"/>
        <v>-</v>
      </c>
      <c r="D11" s="8">
        <v>1.0</v>
      </c>
      <c r="E11" s="21" t="s">
        <v>2</v>
      </c>
      <c r="F11" s="22" t="str">
        <f t="shared" si="2"/>
        <v>Blå</v>
      </c>
      <c r="G11" s="22" t="str">
        <f t="shared" si="3"/>
        <v>Rosa</v>
      </c>
      <c r="H11" s="38"/>
      <c r="K11" s="24">
        <v>4.0</v>
      </c>
      <c r="L11" s="24">
        <v>5.0</v>
      </c>
      <c r="P11" s="26">
        <v>5.0</v>
      </c>
      <c r="Q11" s="26">
        <v>4.0</v>
      </c>
      <c r="U11" s="28">
        <v>0.0</v>
      </c>
      <c r="V11" s="28">
        <v>0.0</v>
      </c>
      <c r="Z11" s="31">
        <v>0.0</v>
      </c>
      <c r="AA11" s="31">
        <v>0.0</v>
      </c>
      <c r="AF11" s="13">
        <f t="shared" si="6"/>
        <v>0</v>
      </c>
      <c r="AG11" s="33">
        <f t="shared" si="5"/>
        <v>0</v>
      </c>
      <c r="AH11" s="33">
        <f t="shared" si="4"/>
        <v>0</v>
      </c>
      <c r="AI11" s="33">
        <v>4.0</v>
      </c>
      <c r="AJ11" s="33">
        <v>9.0</v>
      </c>
      <c r="AK11" s="33">
        <v>7.0</v>
      </c>
      <c r="AL11" s="33">
        <v>3.0</v>
      </c>
    </row>
    <row r="12">
      <c r="A12" s="20" t="s">
        <v>5</v>
      </c>
      <c r="B12" s="8">
        <v>0.0</v>
      </c>
      <c r="C12" s="8" t="str">
        <f t="shared" si="1"/>
        <v>-</v>
      </c>
      <c r="D12" s="8">
        <v>1.0</v>
      </c>
      <c r="E12" s="21" t="s">
        <v>2</v>
      </c>
      <c r="F12" s="22" t="str">
        <f t="shared" si="2"/>
        <v>Blå</v>
      </c>
      <c r="G12" s="22" t="str">
        <f t="shared" si="3"/>
        <v>Rosa</v>
      </c>
      <c r="K12" s="24">
        <v>4.0</v>
      </c>
      <c r="L12" s="24">
        <v>5.0</v>
      </c>
      <c r="P12" s="26">
        <v>5.0</v>
      </c>
      <c r="Q12" s="26">
        <v>4.0</v>
      </c>
      <c r="U12" s="28">
        <v>0.0</v>
      </c>
      <c r="V12" s="28">
        <v>0.0</v>
      </c>
      <c r="Z12" s="31">
        <v>0.0</v>
      </c>
      <c r="AA12" s="31">
        <v>0.0</v>
      </c>
      <c r="AF12" s="13">
        <f t="shared" si="6"/>
        <v>0</v>
      </c>
      <c r="AG12" s="33">
        <f t="shared" si="5"/>
        <v>0</v>
      </c>
      <c r="AH12" s="33">
        <f t="shared" si="4"/>
        <v>0</v>
      </c>
      <c r="AI12" s="33">
        <v>4.0</v>
      </c>
      <c r="AJ12" s="33">
        <v>9.0</v>
      </c>
      <c r="AK12" s="33">
        <v>7.0</v>
      </c>
      <c r="AL12" s="33">
        <v>3.0</v>
      </c>
    </row>
    <row r="13">
      <c r="A13" s="20" t="s">
        <v>2</v>
      </c>
      <c r="B13" s="8">
        <v>0.0</v>
      </c>
      <c r="C13" s="8" t="str">
        <f t="shared" si="1"/>
        <v>-</v>
      </c>
      <c r="D13" s="8">
        <v>1.0</v>
      </c>
      <c r="E13" s="21" t="s">
        <v>5</v>
      </c>
      <c r="F13" s="22" t="str">
        <f t="shared" si="2"/>
        <v>Rosa</v>
      </c>
      <c r="G13" s="22" t="str">
        <f t="shared" si="3"/>
        <v>Blå</v>
      </c>
      <c r="K13" s="24">
        <v>4.0</v>
      </c>
      <c r="L13" s="24">
        <v>5.0</v>
      </c>
      <c r="P13" s="26">
        <v>5.0</v>
      </c>
      <c r="Q13" s="26">
        <v>4.0</v>
      </c>
      <c r="U13" s="28">
        <v>0.0</v>
      </c>
      <c r="V13" s="28">
        <v>0.0</v>
      </c>
      <c r="Z13" s="31">
        <v>0.0</v>
      </c>
      <c r="AA13" s="31">
        <v>0.0</v>
      </c>
      <c r="AF13" s="13">
        <f t="shared" si="6"/>
        <v>0</v>
      </c>
      <c r="AG13" s="33">
        <f t="shared" si="5"/>
        <v>0</v>
      </c>
      <c r="AH13" s="33">
        <f t="shared" si="4"/>
        <v>0</v>
      </c>
      <c r="AI13" s="33">
        <v>4.0</v>
      </c>
      <c r="AJ13" s="33">
        <v>9.0</v>
      </c>
      <c r="AK13" s="33">
        <v>7.0</v>
      </c>
      <c r="AL13" s="33">
        <v>3.0</v>
      </c>
    </row>
    <row r="14">
      <c r="A14" s="20" t="s">
        <v>2</v>
      </c>
      <c r="B14" s="8">
        <v>2.0</v>
      </c>
      <c r="C14" s="8" t="str">
        <f t="shared" si="1"/>
        <v>-</v>
      </c>
      <c r="D14" s="8">
        <v>0.0</v>
      </c>
      <c r="E14" s="21" t="s">
        <v>5</v>
      </c>
      <c r="F14" s="22" t="str">
        <f t="shared" si="2"/>
        <v>Blå</v>
      </c>
      <c r="G14" s="22" t="str">
        <f t="shared" si="3"/>
        <v>Rosa</v>
      </c>
      <c r="K14" s="24">
        <v>4.0</v>
      </c>
      <c r="L14" s="24">
        <v>5.0</v>
      </c>
      <c r="P14" s="26">
        <v>5.0</v>
      </c>
      <c r="Q14" s="26">
        <v>4.0</v>
      </c>
      <c r="U14" s="28">
        <v>0.0</v>
      </c>
      <c r="V14" s="28">
        <v>0.0</v>
      </c>
      <c r="Z14" s="31">
        <v>0.0</v>
      </c>
      <c r="AA14" s="31">
        <v>0.0</v>
      </c>
      <c r="AF14" s="13">
        <f t="shared" si="6"/>
        <v>0</v>
      </c>
      <c r="AG14" s="33">
        <f t="shared" si="5"/>
        <v>0</v>
      </c>
      <c r="AH14" s="33">
        <f t="shared" si="4"/>
        <v>0</v>
      </c>
      <c r="AI14" s="33">
        <v>4.0</v>
      </c>
      <c r="AJ14" s="33">
        <v>9.0</v>
      </c>
      <c r="AK14" s="33">
        <v>7.0</v>
      </c>
      <c r="AL14" s="33">
        <v>3.0</v>
      </c>
    </row>
    <row r="15">
      <c r="A15" s="20" t="s">
        <v>2</v>
      </c>
      <c r="B15" s="8"/>
      <c r="C15" s="8" t="str">
        <f t="shared" si="1"/>
        <v>-</v>
      </c>
      <c r="D15" s="8"/>
      <c r="E15" s="21" t="s">
        <v>5</v>
      </c>
      <c r="F15" s="22" t="str">
        <f t="shared" si="2"/>
        <v/>
      </c>
      <c r="G15" s="22" t="str">
        <f t="shared" si="3"/>
        <v/>
      </c>
      <c r="K15" s="24">
        <v>4.0</v>
      </c>
      <c r="L15" s="24">
        <v>5.0</v>
      </c>
      <c r="P15" s="26">
        <v>5.0</v>
      </c>
      <c r="Q15" s="26">
        <v>4.0</v>
      </c>
      <c r="U15" s="28">
        <v>0.0</v>
      </c>
      <c r="V15" s="28">
        <v>0.0</v>
      </c>
      <c r="Z15" s="31">
        <v>0.0</v>
      </c>
      <c r="AA15" s="31">
        <v>0.0</v>
      </c>
      <c r="AF15" s="13">
        <f t="shared" si="6"/>
        <v>0</v>
      </c>
      <c r="AG15" s="33">
        <f t="shared" si="5"/>
        <v>0</v>
      </c>
      <c r="AH15" s="33">
        <f t="shared" si="4"/>
        <v>0</v>
      </c>
      <c r="AI15" s="33">
        <v>4.0</v>
      </c>
      <c r="AJ15" s="33">
        <v>9.0</v>
      </c>
      <c r="AK15" s="33">
        <v>7.0</v>
      </c>
      <c r="AL15" s="33">
        <v>3.0</v>
      </c>
    </row>
    <row r="16">
      <c r="A16" s="20" t="s">
        <v>2</v>
      </c>
      <c r="B16" s="8"/>
      <c r="C16" s="8" t="str">
        <f t="shared" si="1"/>
        <v>-</v>
      </c>
      <c r="D16" s="8"/>
      <c r="E16" s="21" t="s">
        <v>5</v>
      </c>
      <c r="F16" s="22" t="str">
        <f t="shared" si="2"/>
        <v/>
      </c>
      <c r="G16" s="22" t="str">
        <f t="shared" si="3"/>
        <v/>
      </c>
      <c r="K16" s="24">
        <v>4.0</v>
      </c>
      <c r="L16" s="24">
        <v>5.0</v>
      </c>
      <c r="P16" s="26">
        <v>5.0</v>
      </c>
      <c r="Q16" s="26">
        <v>4.0</v>
      </c>
      <c r="U16" s="28">
        <v>0.0</v>
      </c>
      <c r="V16" s="28">
        <v>0.0</v>
      </c>
      <c r="Z16" s="31">
        <v>0.0</v>
      </c>
      <c r="AA16" s="31">
        <v>0.0</v>
      </c>
      <c r="AF16" s="13">
        <f t="shared" si="6"/>
        <v>0</v>
      </c>
      <c r="AG16" s="33">
        <f t="shared" si="5"/>
        <v>0</v>
      </c>
      <c r="AH16" s="33">
        <f t="shared" si="4"/>
        <v>0</v>
      </c>
      <c r="AI16" s="33">
        <v>4.0</v>
      </c>
      <c r="AJ16" s="33">
        <v>9.0</v>
      </c>
      <c r="AK16" s="33">
        <v>7.0</v>
      </c>
      <c r="AL16" s="33">
        <v>3.0</v>
      </c>
    </row>
    <row r="17">
      <c r="A17" s="20" t="s">
        <v>5</v>
      </c>
      <c r="B17" s="8"/>
      <c r="C17" s="8" t="str">
        <f t="shared" si="1"/>
        <v>-</v>
      </c>
      <c r="D17" s="8"/>
      <c r="E17" s="21" t="s">
        <v>2</v>
      </c>
      <c r="F17" s="22" t="str">
        <f t="shared" si="2"/>
        <v/>
      </c>
      <c r="G17" s="22" t="str">
        <f t="shared" si="3"/>
        <v/>
      </c>
      <c r="K17" s="24">
        <v>4.0</v>
      </c>
      <c r="L17" s="24">
        <v>5.0</v>
      </c>
      <c r="P17" s="26">
        <v>5.0</v>
      </c>
      <c r="Q17" s="26">
        <v>4.0</v>
      </c>
      <c r="U17" s="28">
        <v>0.0</v>
      </c>
      <c r="V17" s="28">
        <v>0.0</v>
      </c>
      <c r="Z17" s="31">
        <v>0.0</v>
      </c>
      <c r="AA17" s="31">
        <v>0.0</v>
      </c>
      <c r="AF17" s="13">
        <f t="shared" si="6"/>
        <v>0</v>
      </c>
      <c r="AG17" s="33">
        <f t="shared" si="5"/>
        <v>0</v>
      </c>
      <c r="AH17" s="33">
        <f t="shared" si="4"/>
        <v>0</v>
      </c>
      <c r="AI17" s="33">
        <v>4.0</v>
      </c>
      <c r="AJ17" s="33">
        <v>9.0</v>
      </c>
      <c r="AK17" s="33">
        <v>7.0</v>
      </c>
      <c r="AL17" s="33">
        <v>3.0</v>
      </c>
    </row>
    <row r="18">
      <c r="A18" s="20" t="s">
        <v>5</v>
      </c>
      <c r="B18" s="8"/>
      <c r="C18" s="8" t="str">
        <f t="shared" si="1"/>
        <v>-</v>
      </c>
      <c r="D18" s="8"/>
      <c r="E18" s="21" t="s">
        <v>2</v>
      </c>
      <c r="F18" s="22" t="str">
        <f t="shared" si="2"/>
        <v/>
      </c>
      <c r="G18" s="22" t="str">
        <f t="shared" si="3"/>
        <v/>
      </c>
      <c r="K18" s="24">
        <v>4.0</v>
      </c>
      <c r="L18" s="24">
        <v>5.0</v>
      </c>
      <c r="P18" s="26">
        <v>5.0</v>
      </c>
      <c r="Q18" s="26">
        <v>4.0</v>
      </c>
      <c r="U18" s="28">
        <v>0.0</v>
      </c>
      <c r="V18" s="28">
        <v>0.0</v>
      </c>
      <c r="Z18" s="31">
        <v>0.0</v>
      </c>
      <c r="AA18" s="31">
        <v>0.0</v>
      </c>
      <c r="AF18" s="13">
        <f t="shared" si="6"/>
        <v>0</v>
      </c>
      <c r="AG18" s="33">
        <f t="shared" si="5"/>
        <v>0</v>
      </c>
      <c r="AH18" s="33">
        <f t="shared" si="4"/>
        <v>0</v>
      </c>
      <c r="AI18" s="33">
        <v>4.0</v>
      </c>
      <c r="AJ18" s="33">
        <v>9.0</v>
      </c>
      <c r="AK18" s="33">
        <v>7.0</v>
      </c>
      <c r="AL18" s="33">
        <v>3.0</v>
      </c>
    </row>
    <row r="19">
      <c r="A19" s="20" t="s">
        <v>5</v>
      </c>
      <c r="B19" s="8"/>
      <c r="C19" s="8" t="str">
        <f t="shared" si="1"/>
        <v>-</v>
      </c>
      <c r="D19" s="8"/>
      <c r="E19" s="21" t="s">
        <v>2</v>
      </c>
      <c r="F19" s="22" t="str">
        <f t="shared" si="2"/>
        <v/>
      </c>
      <c r="G19" s="22" t="str">
        <f t="shared" si="3"/>
        <v/>
      </c>
      <c r="K19" s="24">
        <v>4.0</v>
      </c>
      <c r="L19" s="24">
        <v>5.0</v>
      </c>
      <c r="P19" s="26">
        <v>5.0</v>
      </c>
      <c r="Q19" s="26">
        <v>4.0</v>
      </c>
      <c r="U19" s="28">
        <v>0.0</v>
      </c>
      <c r="V19" s="28">
        <v>0.0</v>
      </c>
      <c r="Z19" s="31">
        <v>0.0</v>
      </c>
      <c r="AA19" s="31">
        <v>0.0</v>
      </c>
      <c r="AF19" s="13">
        <f t="shared" si="6"/>
        <v>0</v>
      </c>
      <c r="AG19" s="33">
        <f t="shared" si="5"/>
        <v>0</v>
      </c>
      <c r="AH19" s="33">
        <f t="shared" si="4"/>
        <v>0</v>
      </c>
      <c r="AI19" s="33">
        <v>4.0</v>
      </c>
      <c r="AJ19" s="33">
        <v>9.0</v>
      </c>
      <c r="AK19" s="33">
        <v>7.0</v>
      </c>
      <c r="AL19" s="33">
        <v>3.0</v>
      </c>
    </row>
    <row r="20">
      <c r="A20" s="20" t="s">
        <v>5</v>
      </c>
      <c r="B20" s="8"/>
      <c r="C20" s="8" t="str">
        <f t="shared" si="1"/>
        <v>-</v>
      </c>
      <c r="D20" s="8"/>
      <c r="E20" s="21" t="s">
        <v>2</v>
      </c>
      <c r="F20" s="22" t="str">
        <f t="shared" si="2"/>
        <v/>
      </c>
      <c r="G20" s="22" t="str">
        <f t="shared" si="3"/>
        <v/>
      </c>
      <c r="K20" s="24">
        <v>4.0</v>
      </c>
      <c r="L20" s="24">
        <v>5.0</v>
      </c>
      <c r="P20" s="26">
        <v>5.0</v>
      </c>
      <c r="Q20" s="26">
        <v>4.0</v>
      </c>
      <c r="U20" s="28">
        <v>0.0</v>
      </c>
      <c r="V20" s="28">
        <v>0.0</v>
      </c>
      <c r="Z20" s="31">
        <v>0.0</v>
      </c>
      <c r="AA20" s="31">
        <v>0.0</v>
      </c>
      <c r="AF20" s="13">
        <f t="shared" si="6"/>
        <v>0</v>
      </c>
      <c r="AG20" s="33">
        <f t="shared" si="5"/>
        <v>0</v>
      </c>
      <c r="AH20" s="33">
        <f t="shared" si="4"/>
        <v>0</v>
      </c>
      <c r="AI20" s="33">
        <v>4.0</v>
      </c>
      <c r="AJ20" s="33">
        <v>9.0</v>
      </c>
      <c r="AK20" s="33">
        <v>7.0</v>
      </c>
      <c r="AL20" s="33">
        <v>3.0</v>
      </c>
    </row>
    <row r="21">
      <c r="A21" s="20"/>
      <c r="B21" s="8"/>
      <c r="C21" s="8" t="str">
        <f t="shared" si="1"/>
        <v/>
      </c>
      <c r="D21" s="8"/>
      <c r="E21" s="21"/>
      <c r="F21" s="22" t="str">
        <f t="shared" si="2"/>
        <v/>
      </c>
      <c r="G21" s="22" t="str">
        <f t="shared" si="3"/>
        <v/>
      </c>
      <c r="K21" s="24">
        <v>4.0</v>
      </c>
      <c r="L21" s="24">
        <v>5.0</v>
      </c>
      <c r="P21" s="26">
        <v>5.0</v>
      </c>
      <c r="Q21" s="26">
        <v>4.0</v>
      </c>
      <c r="U21" s="28">
        <v>0.0</v>
      </c>
      <c r="V21" s="28">
        <v>0.0</v>
      </c>
      <c r="Z21" s="31">
        <v>0.0</v>
      </c>
      <c r="AA21" s="31">
        <v>0.0</v>
      </c>
      <c r="AF21" s="13">
        <f t="shared" si="6"/>
        <v>0</v>
      </c>
      <c r="AG21" s="33">
        <f t="shared" si="5"/>
        <v>0</v>
      </c>
      <c r="AH21" s="33">
        <f t="shared" si="4"/>
        <v>0</v>
      </c>
      <c r="AI21" s="33">
        <v>4.0</v>
      </c>
      <c r="AJ21" s="33">
        <v>9.0</v>
      </c>
      <c r="AK21" s="33">
        <v>7.0</v>
      </c>
      <c r="AL21" s="33">
        <v>3.0</v>
      </c>
    </row>
    <row r="22">
      <c r="A22" s="39"/>
      <c r="B22" s="8"/>
      <c r="C22" s="8" t="str">
        <f t="shared" si="1"/>
        <v/>
      </c>
      <c r="D22" s="8"/>
      <c r="E22" s="21"/>
      <c r="F22" s="22" t="str">
        <f t="shared" si="2"/>
        <v/>
      </c>
      <c r="G22" s="22" t="str">
        <f t="shared" si="3"/>
        <v/>
      </c>
      <c r="K22" s="24">
        <v>4.0</v>
      </c>
      <c r="L22" s="24">
        <v>5.0</v>
      </c>
      <c r="P22" s="26">
        <v>5.0</v>
      </c>
      <c r="Q22" s="26">
        <v>4.0</v>
      </c>
      <c r="U22" s="28">
        <v>0.0</v>
      </c>
      <c r="V22" s="28">
        <v>0.0</v>
      </c>
      <c r="Z22" s="31">
        <v>0.0</v>
      </c>
      <c r="AA22" s="31">
        <v>0.0</v>
      </c>
      <c r="AF22" s="13">
        <f t="shared" si="6"/>
        <v>0</v>
      </c>
      <c r="AG22" s="33">
        <f t="shared" si="5"/>
        <v>0</v>
      </c>
      <c r="AH22" s="33">
        <f t="shared" si="4"/>
        <v>0</v>
      </c>
      <c r="AI22" s="33">
        <v>4.0</v>
      </c>
      <c r="AJ22" s="33">
        <v>9.0</v>
      </c>
      <c r="AK22" s="33">
        <v>7.0</v>
      </c>
      <c r="AL22" s="33">
        <v>3.0</v>
      </c>
    </row>
    <row r="23">
      <c r="A23" s="39"/>
      <c r="AH23" s="39"/>
      <c r="AI23" s="39"/>
      <c r="AJ23" s="39"/>
      <c r="AK23" s="39"/>
      <c r="AL23" s="39"/>
    </row>
    <row r="24">
      <c r="A24" s="40" t="str">
        <f>IFERROR(__xludf.DUMMYFUNCTION("""Gameweek "" &amp; (VALUE(REGEXEXTRACT(A4, ""Gameweek (\d+)"")) + 1)"),"Gameweek 2")</f>
        <v>Gameweek 2</v>
      </c>
      <c r="F24" s="40"/>
      <c r="G24" s="40"/>
      <c r="H24" s="41" t="str">
        <f>A24</f>
        <v>Gameweek 2</v>
      </c>
      <c r="K24" s="15" t="s">
        <v>21</v>
      </c>
      <c r="L24" s="15" t="s">
        <v>22</v>
      </c>
      <c r="M24" s="42" t="str">
        <f>A24</f>
        <v>Gameweek 2</v>
      </c>
      <c r="P24" s="16" t="s">
        <v>21</v>
      </c>
      <c r="Q24" s="16" t="s">
        <v>22</v>
      </c>
      <c r="R24" s="43" t="str">
        <f>A24</f>
        <v>Gameweek 2</v>
      </c>
      <c r="U24" s="17" t="s">
        <v>21</v>
      </c>
      <c r="V24" s="17" t="s">
        <v>22</v>
      </c>
      <c r="W24" s="44" t="str">
        <f>A24</f>
        <v>Gameweek 2</v>
      </c>
      <c r="Z24" s="18" t="s">
        <v>21</v>
      </c>
      <c r="AA24" s="18" t="s">
        <v>22</v>
      </c>
      <c r="AB24" s="45" t="str">
        <f>A24</f>
        <v>Gameweek 2</v>
      </c>
      <c r="AF24" s="19" t="s">
        <v>21</v>
      </c>
      <c r="AG24" s="19" t="s">
        <v>22</v>
      </c>
      <c r="AH24" s="19" t="s">
        <v>17</v>
      </c>
      <c r="AI24" s="19" t="s">
        <v>23</v>
      </c>
    </row>
    <row r="25">
      <c r="A25" s="20" t="s">
        <v>2</v>
      </c>
      <c r="B25" s="8">
        <v>0.0</v>
      </c>
      <c r="C25" s="8" t="str">
        <f t="shared" ref="C25:C42" si="7">IF(ISBLANK(A25), "", "-")
</f>
        <v>-</v>
      </c>
      <c r="D25" s="8">
        <v>1.0</v>
      </c>
      <c r="E25" s="21" t="s">
        <v>5</v>
      </c>
      <c r="F25" s="22" t="str">
        <f t="shared" ref="F25:F41" si="8">IF(AND(B25 &lt;&gt; "", D25 &lt;&gt; ""), IF(B25 &gt; D25, A25, IF(D25 &gt; B25, E25, "Oavgjort")), "")</f>
        <v>Rosa</v>
      </c>
      <c r="G25" s="22" t="str">
        <f t="shared" ref="G25:G41" si="9">IF(AND(B25 &lt;&gt; "", D25 &lt;&gt; ""), IF(B25 &lt; D25, A25, IF(D25 &lt; B25, E25, "Oavgjort")), "")
</f>
        <v>Blå</v>
      </c>
      <c r="H25" s="23" t="s">
        <v>24</v>
      </c>
      <c r="I25" s="9">
        <v>1.0</v>
      </c>
      <c r="J25" s="9">
        <v>4.0</v>
      </c>
      <c r="K25" s="24">
        <f t="array" ref="K25:K42">IF(SEQUENCE(18, 1), COUNTIF(F25:F42, $H$2))
</f>
        <v>1</v>
      </c>
      <c r="L25" s="24">
        <f t="array" ref="L25:L42">IF(SEQUENCE(18, 1), COUNTIF(G25:G42, $H$2))
</f>
        <v>5</v>
      </c>
      <c r="M25" s="25" t="s">
        <v>27</v>
      </c>
      <c r="N25" s="10">
        <v>5.0</v>
      </c>
      <c r="O25" s="10">
        <v>2.0</v>
      </c>
      <c r="P25" s="26">
        <f t="array" ref="P25:P42">IF(SEQUENCE(18, 1), COUNTIF(F25:F42, $M$2))
</f>
        <v>5</v>
      </c>
      <c r="Q25" s="26">
        <f t="array" ref="Q25:Q42">IF(SEQUENCE(18, 1), COUNTIF(G25:G42, $M$2))
</f>
        <v>1</v>
      </c>
      <c r="R25" s="27" t="s">
        <v>33</v>
      </c>
      <c r="S25" s="11">
        <v>0.0</v>
      </c>
      <c r="T25" s="11">
        <v>0.0</v>
      </c>
      <c r="U25" s="28">
        <f t="array" ref="U25:U42">IF(SEQUENCE(18, 1), COUNTIF(F25:F42, $R$2))
</f>
        <v>0</v>
      </c>
      <c r="V25" s="28">
        <f t="array" ref="V25:V42">IF(SEQUENCE(18, 1), COUNTIF(G25:G42, $R$2))
</f>
        <v>0</v>
      </c>
      <c r="W25" s="29"/>
      <c r="X25" s="30">
        <v>0.0</v>
      </c>
      <c r="Y25" s="30">
        <v>0.0</v>
      </c>
      <c r="Z25" s="31">
        <f t="array" ref="Z25:Z42">IF(SEQUENCE(18, 1), COUNTIF(F25:F42, $W$2))
</f>
        <v>0</v>
      </c>
      <c r="AA25" s="31">
        <f t="array" ref="AA25:AA42">IF(SEQUENCE(18, 1), COUNTIF(G25:G42, $W$2))
</f>
        <v>0</v>
      </c>
      <c r="AB25" s="32" t="s">
        <v>9</v>
      </c>
      <c r="AC25" s="32" t="s">
        <v>38</v>
      </c>
      <c r="AD25" s="13">
        <v>0.0</v>
      </c>
      <c r="AE25" s="13">
        <v>0.0</v>
      </c>
      <c r="AF25" s="13">
        <v>1.0</v>
      </c>
      <c r="AG25" s="33">
        <f>IF(AB25 = "Hemma", AJ25, (IF(AB25 = "Borta", AI25, 0)))</f>
        <v>5</v>
      </c>
      <c r="AH25" s="33">
        <f t="shared" ref="AH25:AH42" si="10">IF(AB25 = "Borta", AK25, (IF(AB25 = "Hemma", AL25, 0)))</f>
        <v>4</v>
      </c>
      <c r="AI25" s="33">
        <f t="array" ref="AI25:AI42">IF(F25 &lt;&gt; "",
     SEQUENCE(18,1,1,0)*SUM(IF(A25:A42 = F25:F42, 1, 0)),
     SEQUENCE(18,1,0,0)
  )</f>
        <v>5</v>
      </c>
      <c r="AJ25" s="33">
        <f t="array" ref="AJ25:AJ42">IF(G25 &lt;&gt; "",
     SEQUENCE(18,1,1,0)*SUM(IF(E25:E42 = F25:F42, 1, 0)),
     SEQUENCE(18,1,0,0)
  )</f>
        <v>5</v>
      </c>
      <c r="AK25" s="33">
        <f t="array" ref="AK25:AK42">IF(SEQUENCE(18, 1), COUNTIF(B25:B42, 0))</f>
        <v>4</v>
      </c>
      <c r="AL25" s="33">
        <f t="array" ref="AL25:AL42">IF(SEQUENCE(18, 1), COUNTIF(D25:D42, 0))</f>
        <v>4</v>
      </c>
    </row>
    <row r="26">
      <c r="A26" s="20" t="s">
        <v>2</v>
      </c>
      <c r="B26" s="8">
        <v>0.0</v>
      </c>
      <c r="C26" s="8" t="str">
        <f t="shared" si="7"/>
        <v>-</v>
      </c>
      <c r="D26" s="8">
        <v>0.0</v>
      </c>
      <c r="E26" s="21" t="s">
        <v>5</v>
      </c>
      <c r="F26" s="22" t="str">
        <f t="shared" si="8"/>
        <v>Oavgjort</v>
      </c>
      <c r="G26" s="22" t="str">
        <f t="shared" si="9"/>
        <v>Oavgjort</v>
      </c>
      <c r="H26" s="23" t="s">
        <v>39</v>
      </c>
      <c r="I26" s="9">
        <v>4.0</v>
      </c>
      <c r="J26" s="9">
        <v>0.0</v>
      </c>
      <c r="K26" s="24">
        <v>1.0</v>
      </c>
      <c r="L26" s="24">
        <v>5.0</v>
      </c>
      <c r="M26" s="25" t="s">
        <v>35</v>
      </c>
      <c r="N26" s="10">
        <v>3.0</v>
      </c>
      <c r="O26" s="10">
        <v>3.0</v>
      </c>
      <c r="P26" s="26">
        <v>5.0</v>
      </c>
      <c r="Q26" s="26">
        <v>1.0</v>
      </c>
      <c r="R26" s="27" t="s">
        <v>40</v>
      </c>
      <c r="S26" s="11">
        <v>0.0</v>
      </c>
      <c r="T26" s="11">
        <v>0.0</v>
      </c>
      <c r="U26" s="28">
        <v>0.0</v>
      </c>
      <c r="V26" s="28">
        <v>0.0</v>
      </c>
      <c r="W26" s="29"/>
      <c r="X26" s="30">
        <v>0.0</v>
      </c>
      <c r="Y26" s="30">
        <v>0.0</v>
      </c>
      <c r="Z26" s="31">
        <v>0.0</v>
      </c>
      <c r="AA26" s="31">
        <v>0.0</v>
      </c>
      <c r="AB26" s="32" t="s">
        <v>11</v>
      </c>
      <c r="AC26" s="32" t="s">
        <v>30</v>
      </c>
      <c r="AD26" s="13">
        <v>1.0</v>
      </c>
      <c r="AE26" s="13">
        <v>1.0</v>
      </c>
      <c r="AF26" s="13">
        <f t="shared" ref="AF26:AF42" si="11">IF(AB26 = "Borta", AJ26, (IF(AB26 = "Hemma", AI26, 0)))</f>
        <v>5</v>
      </c>
      <c r="AG26" s="13">
        <v>1.0</v>
      </c>
      <c r="AH26" s="33">
        <f t="shared" si="10"/>
        <v>4</v>
      </c>
      <c r="AI26" s="33">
        <v>5.0</v>
      </c>
      <c r="AJ26" s="33">
        <v>5.0</v>
      </c>
      <c r="AK26" s="33">
        <v>4.0</v>
      </c>
      <c r="AL26" s="33">
        <v>4.0</v>
      </c>
    </row>
    <row r="27">
      <c r="A27" s="20" t="s">
        <v>2</v>
      </c>
      <c r="B27" s="8">
        <v>0.0</v>
      </c>
      <c r="C27" s="8" t="str">
        <f t="shared" si="7"/>
        <v>-</v>
      </c>
      <c r="D27" s="8">
        <v>1.0</v>
      </c>
      <c r="E27" s="21" t="s">
        <v>5</v>
      </c>
      <c r="F27" s="22" t="str">
        <f t="shared" si="8"/>
        <v>Rosa</v>
      </c>
      <c r="G27" s="22" t="str">
        <f t="shared" si="9"/>
        <v>Blå</v>
      </c>
      <c r="H27" s="23" t="s">
        <v>41</v>
      </c>
      <c r="I27" s="9">
        <v>0.0</v>
      </c>
      <c r="J27" s="9">
        <v>1.0</v>
      </c>
      <c r="K27" s="24">
        <v>1.0</v>
      </c>
      <c r="L27" s="24">
        <v>5.0</v>
      </c>
      <c r="M27" s="25" t="s">
        <v>34</v>
      </c>
      <c r="N27" s="10">
        <v>1.0</v>
      </c>
      <c r="O27" s="10">
        <v>2.0</v>
      </c>
      <c r="P27" s="26">
        <v>5.0</v>
      </c>
      <c r="Q27" s="26">
        <v>1.0</v>
      </c>
      <c r="R27" s="27" t="s">
        <v>42</v>
      </c>
      <c r="S27" s="11">
        <v>0.0</v>
      </c>
      <c r="T27" s="11">
        <v>0.0</v>
      </c>
      <c r="U27" s="28">
        <v>0.0</v>
      </c>
      <c r="V27" s="28">
        <v>0.0</v>
      </c>
      <c r="W27" s="29"/>
      <c r="X27" s="30">
        <v>0.0</v>
      </c>
      <c r="Y27" s="30">
        <v>0.0</v>
      </c>
      <c r="Z27" s="31">
        <v>0.0</v>
      </c>
      <c r="AA27" s="31">
        <v>0.0</v>
      </c>
      <c r="AB27" s="34"/>
      <c r="AF27" s="13">
        <f t="shared" si="11"/>
        <v>0</v>
      </c>
      <c r="AG27" s="33">
        <f t="shared" ref="AG27:AG42" si="12">IF(AB27 = "Hemma", AJ27, (IF(AB27 = "Borta", AI27, 0)))</f>
        <v>0</v>
      </c>
      <c r="AH27" s="33">
        <f t="shared" si="10"/>
        <v>0</v>
      </c>
      <c r="AI27" s="33">
        <v>5.0</v>
      </c>
      <c r="AJ27" s="33">
        <v>5.0</v>
      </c>
      <c r="AK27" s="33">
        <v>4.0</v>
      </c>
      <c r="AL27" s="33">
        <v>4.0</v>
      </c>
    </row>
    <row r="28">
      <c r="A28" s="20" t="s">
        <v>2</v>
      </c>
      <c r="B28" s="8">
        <v>1.0</v>
      </c>
      <c r="C28" s="8" t="str">
        <f t="shared" si="7"/>
        <v>-</v>
      </c>
      <c r="D28" s="8">
        <v>2.0</v>
      </c>
      <c r="E28" s="21" t="s">
        <v>5</v>
      </c>
      <c r="F28" s="22" t="str">
        <f t="shared" si="8"/>
        <v>Rosa</v>
      </c>
      <c r="G28" s="22" t="str">
        <f t="shared" si="9"/>
        <v>Blå</v>
      </c>
      <c r="H28" s="23" t="s">
        <v>25</v>
      </c>
      <c r="I28" s="9">
        <v>0.0</v>
      </c>
      <c r="J28" s="9">
        <v>0.0</v>
      </c>
      <c r="K28" s="24">
        <v>1.0</v>
      </c>
      <c r="L28" s="24">
        <v>5.0</v>
      </c>
      <c r="M28" s="25" t="s">
        <v>43</v>
      </c>
      <c r="N28" s="10">
        <v>1.0</v>
      </c>
      <c r="O28" s="10">
        <v>3.0</v>
      </c>
      <c r="P28" s="26">
        <v>5.0</v>
      </c>
      <c r="Q28" s="26">
        <v>1.0</v>
      </c>
      <c r="R28" s="27"/>
      <c r="S28" s="11">
        <v>0.0</v>
      </c>
      <c r="T28" s="11">
        <v>0.0</v>
      </c>
      <c r="U28" s="28">
        <v>0.0</v>
      </c>
      <c r="V28" s="28">
        <v>0.0</v>
      </c>
      <c r="W28" s="29"/>
      <c r="X28" s="30">
        <v>0.0</v>
      </c>
      <c r="Y28" s="30">
        <v>0.0</v>
      </c>
      <c r="Z28" s="31">
        <v>0.0</v>
      </c>
      <c r="AA28" s="31">
        <v>0.0</v>
      </c>
      <c r="AF28" s="13">
        <f t="shared" si="11"/>
        <v>0</v>
      </c>
      <c r="AG28" s="33">
        <f t="shared" si="12"/>
        <v>0</v>
      </c>
      <c r="AH28" s="33">
        <f t="shared" si="10"/>
        <v>0</v>
      </c>
      <c r="AI28" s="33">
        <v>5.0</v>
      </c>
      <c r="AJ28" s="33">
        <v>5.0</v>
      </c>
      <c r="AK28" s="33">
        <v>4.0</v>
      </c>
      <c r="AL28" s="33">
        <v>4.0</v>
      </c>
    </row>
    <row r="29">
      <c r="A29" s="20" t="s">
        <v>5</v>
      </c>
      <c r="B29" s="8">
        <v>0.0</v>
      </c>
      <c r="C29" s="8" t="str">
        <f t="shared" si="7"/>
        <v>-</v>
      </c>
      <c r="D29" s="8">
        <v>0.0</v>
      </c>
      <c r="E29" s="21" t="s">
        <v>2</v>
      </c>
      <c r="F29" s="22" t="str">
        <f t="shared" si="8"/>
        <v>Oavgjort</v>
      </c>
      <c r="G29" s="22" t="str">
        <f t="shared" si="9"/>
        <v>Oavgjort</v>
      </c>
      <c r="H29" s="23" t="s">
        <v>36</v>
      </c>
      <c r="I29" s="9">
        <v>1.0</v>
      </c>
      <c r="J29" s="9">
        <v>1.0</v>
      </c>
      <c r="K29" s="24">
        <v>1.0</v>
      </c>
      <c r="L29" s="24">
        <v>5.0</v>
      </c>
      <c r="M29" s="35"/>
      <c r="N29" s="10">
        <v>0.0</v>
      </c>
      <c r="O29" s="10">
        <v>0.0</v>
      </c>
      <c r="P29" s="26">
        <v>5.0</v>
      </c>
      <c r="Q29" s="26">
        <v>1.0</v>
      </c>
      <c r="R29" s="36"/>
      <c r="S29" s="11">
        <v>0.0</v>
      </c>
      <c r="T29" s="11">
        <v>0.0</v>
      </c>
      <c r="U29" s="28">
        <v>0.0</v>
      </c>
      <c r="V29" s="28">
        <v>0.0</v>
      </c>
      <c r="W29" s="29"/>
      <c r="X29" s="30">
        <v>0.0</v>
      </c>
      <c r="Y29" s="30">
        <v>0.0</v>
      </c>
      <c r="Z29" s="31">
        <v>0.0</v>
      </c>
      <c r="AA29" s="31">
        <v>0.0</v>
      </c>
      <c r="AF29" s="13">
        <f t="shared" si="11"/>
        <v>0</v>
      </c>
      <c r="AG29" s="33">
        <f t="shared" si="12"/>
        <v>0</v>
      </c>
      <c r="AH29" s="33">
        <f t="shared" si="10"/>
        <v>0</v>
      </c>
      <c r="AI29" s="33">
        <v>5.0</v>
      </c>
      <c r="AJ29" s="33">
        <v>5.0</v>
      </c>
      <c r="AK29" s="33">
        <v>4.0</v>
      </c>
      <c r="AL29" s="33">
        <v>4.0</v>
      </c>
    </row>
    <row r="30">
      <c r="A30" s="20" t="s">
        <v>5</v>
      </c>
      <c r="B30" s="8">
        <v>2.0</v>
      </c>
      <c r="C30" s="8" t="str">
        <f t="shared" si="7"/>
        <v>-</v>
      </c>
      <c r="D30" s="8">
        <v>0.0</v>
      </c>
      <c r="E30" s="21" t="s">
        <v>2</v>
      </c>
      <c r="F30" s="22" t="str">
        <f t="shared" si="8"/>
        <v>Rosa</v>
      </c>
      <c r="G30" s="22" t="str">
        <f t="shared" si="9"/>
        <v>Blå</v>
      </c>
      <c r="H30" s="38"/>
      <c r="I30" s="9">
        <v>0.0</v>
      </c>
      <c r="J30" s="9">
        <v>0.0</v>
      </c>
      <c r="K30" s="24">
        <v>1.0</v>
      </c>
      <c r="L30" s="24">
        <v>5.0</v>
      </c>
      <c r="M30" s="35"/>
      <c r="N30" s="10">
        <v>0.0</v>
      </c>
      <c r="O30" s="10">
        <v>0.0</v>
      </c>
      <c r="P30" s="26">
        <v>5.0</v>
      </c>
      <c r="Q30" s="26">
        <v>1.0</v>
      </c>
      <c r="R30" s="36"/>
      <c r="S30" s="11">
        <v>0.0</v>
      </c>
      <c r="T30" s="11">
        <v>0.0</v>
      </c>
      <c r="U30" s="28">
        <v>0.0</v>
      </c>
      <c r="V30" s="28">
        <v>0.0</v>
      </c>
      <c r="W30" s="29"/>
      <c r="X30" s="30">
        <v>0.0</v>
      </c>
      <c r="Y30" s="30">
        <v>0.0</v>
      </c>
      <c r="Z30" s="31">
        <v>0.0</v>
      </c>
      <c r="AA30" s="31">
        <v>0.0</v>
      </c>
      <c r="AF30" s="13">
        <f t="shared" si="11"/>
        <v>0</v>
      </c>
      <c r="AG30" s="33">
        <f t="shared" si="12"/>
        <v>0</v>
      </c>
      <c r="AH30" s="33">
        <f t="shared" si="10"/>
        <v>0</v>
      </c>
      <c r="AI30" s="33">
        <v>5.0</v>
      </c>
      <c r="AJ30" s="33">
        <v>5.0</v>
      </c>
      <c r="AK30" s="33">
        <v>4.0</v>
      </c>
      <c r="AL30" s="33">
        <v>4.0</v>
      </c>
    </row>
    <row r="31">
      <c r="A31" s="20" t="s">
        <v>5</v>
      </c>
      <c r="B31" s="8">
        <v>3.0</v>
      </c>
      <c r="C31" s="8" t="str">
        <f t="shared" si="7"/>
        <v>-</v>
      </c>
      <c r="D31" s="8">
        <v>0.0</v>
      </c>
      <c r="E31" s="21" t="s">
        <v>2</v>
      </c>
      <c r="F31" s="22" t="str">
        <f t="shared" si="8"/>
        <v>Rosa</v>
      </c>
      <c r="G31" s="22" t="str">
        <f t="shared" si="9"/>
        <v>Blå</v>
      </c>
      <c r="H31" s="38"/>
      <c r="I31" s="9">
        <v>0.0</v>
      </c>
      <c r="J31" s="9">
        <v>0.0</v>
      </c>
      <c r="K31" s="24">
        <v>1.0</v>
      </c>
      <c r="L31" s="24">
        <v>5.0</v>
      </c>
      <c r="M31" s="35"/>
      <c r="N31" s="10">
        <v>0.0</v>
      </c>
      <c r="O31" s="10">
        <v>0.0</v>
      </c>
      <c r="P31" s="26">
        <v>5.0</v>
      </c>
      <c r="Q31" s="26">
        <v>1.0</v>
      </c>
      <c r="R31" s="36"/>
      <c r="S31" s="11">
        <v>0.0</v>
      </c>
      <c r="T31" s="11">
        <v>0.0</v>
      </c>
      <c r="U31" s="28">
        <v>0.0</v>
      </c>
      <c r="V31" s="28">
        <v>0.0</v>
      </c>
      <c r="W31" s="29"/>
      <c r="X31" s="30">
        <v>0.0</v>
      </c>
      <c r="Y31" s="30">
        <v>0.0</v>
      </c>
      <c r="Z31" s="31">
        <v>0.0</v>
      </c>
      <c r="AA31" s="31">
        <v>0.0</v>
      </c>
      <c r="AF31" s="13">
        <f t="shared" si="11"/>
        <v>0</v>
      </c>
      <c r="AG31" s="33">
        <f t="shared" si="12"/>
        <v>0</v>
      </c>
      <c r="AH31" s="33">
        <f t="shared" si="10"/>
        <v>0</v>
      </c>
      <c r="AI31" s="33">
        <v>5.0</v>
      </c>
      <c r="AJ31" s="33">
        <v>5.0</v>
      </c>
      <c r="AK31" s="33">
        <v>4.0</v>
      </c>
      <c r="AL31" s="33">
        <v>4.0</v>
      </c>
    </row>
    <row r="32">
      <c r="A32" s="20" t="s">
        <v>5</v>
      </c>
      <c r="B32" s="8">
        <v>2.0</v>
      </c>
      <c r="C32" s="8" t="str">
        <f t="shared" si="7"/>
        <v>-</v>
      </c>
      <c r="D32" s="8">
        <v>2.0</v>
      </c>
      <c r="E32" s="21" t="s">
        <v>2</v>
      </c>
      <c r="F32" s="22" t="str">
        <f t="shared" si="8"/>
        <v>Oavgjort</v>
      </c>
      <c r="G32" s="22" t="str">
        <f t="shared" si="9"/>
        <v>Oavgjort</v>
      </c>
      <c r="H32" s="38"/>
      <c r="K32" s="24">
        <v>1.0</v>
      </c>
      <c r="L32" s="24">
        <v>5.0</v>
      </c>
      <c r="M32" s="35"/>
      <c r="P32" s="26">
        <v>5.0</v>
      </c>
      <c r="Q32" s="26">
        <v>1.0</v>
      </c>
      <c r="R32" s="36"/>
      <c r="U32" s="28">
        <v>0.0</v>
      </c>
      <c r="V32" s="28">
        <v>0.0</v>
      </c>
      <c r="W32" s="37"/>
      <c r="Z32" s="31">
        <v>0.0</v>
      </c>
      <c r="AA32" s="31">
        <v>0.0</v>
      </c>
      <c r="AF32" s="13">
        <f t="shared" si="11"/>
        <v>0</v>
      </c>
      <c r="AG32" s="33">
        <f t="shared" si="12"/>
        <v>0</v>
      </c>
      <c r="AH32" s="33">
        <f t="shared" si="10"/>
        <v>0</v>
      </c>
      <c r="AI32" s="33">
        <v>5.0</v>
      </c>
      <c r="AJ32" s="33">
        <v>5.0</v>
      </c>
      <c r="AK32" s="33">
        <v>4.0</v>
      </c>
      <c r="AL32" s="33">
        <v>4.0</v>
      </c>
    </row>
    <row r="33">
      <c r="A33" s="20" t="s">
        <v>2</v>
      </c>
      <c r="B33" s="8">
        <v>1.0</v>
      </c>
      <c r="C33" s="8" t="str">
        <f t="shared" si="7"/>
        <v>-</v>
      </c>
      <c r="D33" s="8">
        <v>1.0</v>
      </c>
      <c r="E33" s="21" t="s">
        <v>5</v>
      </c>
      <c r="F33" s="22" t="str">
        <f t="shared" si="8"/>
        <v>Oavgjort</v>
      </c>
      <c r="G33" s="22" t="str">
        <f t="shared" si="9"/>
        <v>Oavgjort</v>
      </c>
      <c r="K33" s="24">
        <v>1.0</v>
      </c>
      <c r="L33" s="24">
        <v>5.0</v>
      </c>
      <c r="P33" s="26">
        <v>5.0</v>
      </c>
      <c r="Q33" s="26">
        <v>1.0</v>
      </c>
      <c r="U33" s="28">
        <v>0.0</v>
      </c>
      <c r="V33" s="28">
        <v>0.0</v>
      </c>
      <c r="Z33" s="31">
        <v>0.0</v>
      </c>
      <c r="AA33" s="31">
        <v>0.0</v>
      </c>
      <c r="AF33" s="13">
        <f t="shared" si="11"/>
        <v>0</v>
      </c>
      <c r="AG33" s="33">
        <f t="shared" si="12"/>
        <v>0</v>
      </c>
      <c r="AH33" s="33">
        <f t="shared" si="10"/>
        <v>0</v>
      </c>
      <c r="AI33" s="33">
        <v>5.0</v>
      </c>
      <c r="AJ33" s="33">
        <v>5.0</v>
      </c>
      <c r="AK33" s="33">
        <v>4.0</v>
      </c>
      <c r="AL33" s="33">
        <v>4.0</v>
      </c>
    </row>
    <row r="34">
      <c r="A34" s="20" t="s">
        <v>2</v>
      </c>
      <c r="B34" s="8">
        <v>2.0</v>
      </c>
      <c r="C34" s="8" t="str">
        <f t="shared" si="7"/>
        <v>-</v>
      </c>
      <c r="D34" s="8">
        <v>1.0</v>
      </c>
      <c r="E34" s="21" t="s">
        <v>5</v>
      </c>
      <c r="F34" s="22" t="str">
        <f t="shared" si="8"/>
        <v>Blå</v>
      </c>
      <c r="G34" s="22" t="str">
        <f t="shared" si="9"/>
        <v>Rosa</v>
      </c>
      <c r="K34" s="24">
        <v>1.0</v>
      </c>
      <c r="L34" s="24">
        <v>5.0</v>
      </c>
      <c r="P34" s="26">
        <v>5.0</v>
      </c>
      <c r="Q34" s="26">
        <v>1.0</v>
      </c>
      <c r="U34" s="28">
        <v>0.0</v>
      </c>
      <c r="V34" s="28">
        <v>0.0</v>
      </c>
      <c r="Z34" s="31">
        <v>0.0</v>
      </c>
      <c r="AA34" s="31">
        <v>0.0</v>
      </c>
      <c r="AF34" s="13">
        <f t="shared" si="11"/>
        <v>0</v>
      </c>
      <c r="AG34" s="33">
        <f t="shared" si="12"/>
        <v>0</v>
      </c>
      <c r="AH34" s="33">
        <f t="shared" si="10"/>
        <v>0</v>
      </c>
      <c r="AI34" s="33">
        <v>5.0</v>
      </c>
      <c r="AJ34" s="33">
        <v>5.0</v>
      </c>
      <c r="AK34" s="33">
        <v>4.0</v>
      </c>
      <c r="AL34" s="33">
        <v>4.0</v>
      </c>
    </row>
    <row r="35">
      <c r="A35" s="20" t="s">
        <v>2</v>
      </c>
      <c r="B35" s="8"/>
      <c r="C35" s="8" t="str">
        <f t="shared" si="7"/>
        <v>-</v>
      </c>
      <c r="D35" s="8"/>
      <c r="E35" s="21" t="s">
        <v>5</v>
      </c>
      <c r="F35" s="22" t="str">
        <f t="shared" si="8"/>
        <v/>
      </c>
      <c r="G35" s="22" t="str">
        <f t="shared" si="9"/>
        <v/>
      </c>
      <c r="K35" s="24">
        <v>1.0</v>
      </c>
      <c r="L35" s="24">
        <v>5.0</v>
      </c>
      <c r="P35" s="26">
        <v>5.0</v>
      </c>
      <c r="Q35" s="26">
        <v>1.0</v>
      </c>
      <c r="U35" s="28">
        <v>0.0</v>
      </c>
      <c r="V35" s="28">
        <v>0.0</v>
      </c>
      <c r="Z35" s="31">
        <v>0.0</v>
      </c>
      <c r="AA35" s="31">
        <v>0.0</v>
      </c>
      <c r="AF35" s="13">
        <f t="shared" si="11"/>
        <v>0</v>
      </c>
      <c r="AG35" s="33">
        <f t="shared" si="12"/>
        <v>0</v>
      </c>
      <c r="AH35" s="33">
        <f t="shared" si="10"/>
        <v>0</v>
      </c>
      <c r="AI35" s="33">
        <v>5.0</v>
      </c>
      <c r="AJ35" s="33">
        <v>5.0</v>
      </c>
      <c r="AK35" s="33">
        <v>4.0</v>
      </c>
      <c r="AL35" s="33">
        <v>4.0</v>
      </c>
    </row>
    <row r="36">
      <c r="A36" s="20" t="s">
        <v>2</v>
      </c>
      <c r="B36" s="8"/>
      <c r="C36" s="8" t="str">
        <f t="shared" si="7"/>
        <v>-</v>
      </c>
      <c r="D36" s="8"/>
      <c r="E36" s="21" t="s">
        <v>5</v>
      </c>
      <c r="F36" s="22" t="str">
        <f t="shared" si="8"/>
        <v/>
      </c>
      <c r="G36" s="22" t="str">
        <f t="shared" si="9"/>
        <v/>
      </c>
      <c r="K36" s="24">
        <v>1.0</v>
      </c>
      <c r="L36" s="24">
        <v>5.0</v>
      </c>
      <c r="P36" s="26">
        <v>5.0</v>
      </c>
      <c r="Q36" s="26">
        <v>1.0</v>
      </c>
      <c r="U36" s="28">
        <v>0.0</v>
      </c>
      <c r="V36" s="28">
        <v>0.0</v>
      </c>
      <c r="Z36" s="31">
        <v>0.0</v>
      </c>
      <c r="AA36" s="31">
        <v>0.0</v>
      </c>
      <c r="AF36" s="13">
        <f t="shared" si="11"/>
        <v>0</v>
      </c>
      <c r="AG36" s="33">
        <f t="shared" si="12"/>
        <v>0</v>
      </c>
      <c r="AH36" s="33">
        <f t="shared" si="10"/>
        <v>0</v>
      </c>
      <c r="AI36" s="33">
        <v>5.0</v>
      </c>
      <c r="AJ36" s="33">
        <v>5.0</v>
      </c>
      <c r="AK36" s="33">
        <v>4.0</v>
      </c>
      <c r="AL36" s="33">
        <v>4.0</v>
      </c>
    </row>
    <row r="37">
      <c r="A37" s="20" t="s">
        <v>5</v>
      </c>
      <c r="B37" s="8"/>
      <c r="C37" s="8" t="str">
        <f t="shared" si="7"/>
        <v>-</v>
      </c>
      <c r="D37" s="8"/>
      <c r="E37" s="21" t="s">
        <v>2</v>
      </c>
      <c r="F37" s="22" t="str">
        <f t="shared" si="8"/>
        <v/>
      </c>
      <c r="G37" s="22" t="str">
        <f t="shared" si="9"/>
        <v/>
      </c>
      <c r="K37" s="24">
        <v>1.0</v>
      </c>
      <c r="L37" s="24">
        <v>5.0</v>
      </c>
      <c r="P37" s="26">
        <v>5.0</v>
      </c>
      <c r="Q37" s="26">
        <v>1.0</v>
      </c>
      <c r="U37" s="28">
        <v>0.0</v>
      </c>
      <c r="V37" s="28">
        <v>0.0</v>
      </c>
      <c r="Z37" s="31">
        <v>0.0</v>
      </c>
      <c r="AA37" s="31">
        <v>0.0</v>
      </c>
      <c r="AF37" s="13">
        <f t="shared" si="11"/>
        <v>0</v>
      </c>
      <c r="AG37" s="33">
        <f t="shared" si="12"/>
        <v>0</v>
      </c>
      <c r="AH37" s="33">
        <f t="shared" si="10"/>
        <v>0</v>
      </c>
      <c r="AI37" s="33">
        <v>5.0</v>
      </c>
      <c r="AJ37" s="33">
        <v>5.0</v>
      </c>
      <c r="AK37" s="33">
        <v>4.0</v>
      </c>
      <c r="AL37" s="33">
        <v>4.0</v>
      </c>
    </row>
    <row r="38">
      <c r="A38" s="20" t="s">
        <v>5</v>
      </c>
      <c r="B38" s="8"/>
      <c r="C38" s="8" t="str">
        <f t="shared" si="7"/>
        <v>-</v>
      </c>
      <c r="D38" s="8"/>
      <c r="E38" s="21" t="s">
        <v>2</v>
      </c>
      <c r="F38" s="22" t="str">
        <f t="shared" si="8"/>
        <v/>
      </c>
      <c r="G38" s="22" t="str">
        <f t="shared" si="9"/>
        <v/>
      </c>
      <c r="K38" s="24">
        <v>1.0</v>
      </c>
      <c r="L38" s="24">
        <v>5.0</v>
      </c>
      <c r="P38" s="26">
        <v>5.0</v>
      </c>
      <c r="Q38" s="26">
        <v>1.0</v>
      </c>
      <c r="U38" s="28">
        <v>0.0</v>
      </c>
      <c r="V38" s="28">
        <v>0.0</v>
      </c>
      <c r="Z38" s="31">
        <v>0.0</v>
      </c>
      <c r="AA38" s="31">
        <v>0.0</v>
      </c>
      <c r="AF38" s="13">
        <f t="shared" si="11"/>
        <v>0</v>
      </c>
      <c r="AG38" s="33">
        <f t="shared" si="12"/>
        <v>0</v>
      </c>
      <c r="AH38" s="33">
        <f t="shared" si="10"/>
        <v>0</v>
      </c>
      <c r="AI38" s="33">
        <v>5.0</v>
      </c>
      <c r="AJ38" s="33">
        <v>5.0</v>
      </c>
      <c r="AK38" s="33">
        <v>4.0</v>
      </c>
      <c r="AL38" s="33">
        <v>4.0</v>
      </c>
    </row>
    <row r="39">
      <c r="A39" s="20" t="s">
        <v>5</v>
      </c>
      <c r="B39" s="8"/>
      <c r="C39" s="8" t="str">
        <f t="shared" si="7"/>
        <v>-</v>
      </c>
      <c r="D39" s="8"/>
      <c r="E39" s="21" t="s">
        <v>2</v>
      </c>
      <c r="F39" s="22" t="str">
        <f t="shared" si="8"/>
        <v/>
      </c>
      <c r="G39" s="22" t="str">
        <f t="shared" si="9"/>
        <v/>
      </c>
      <c r="K39" s="24">
        <v>1.0</v>
      </c>
      <c r="L39" s="24">
        <v>5.0</v>
      </c>
      <c r="P39" s="26">
        <v>5.0</v>
      </c>
      <c r="Q39" s="26">
        <v>1.0</v>
      </c>
      <c r="U39" s="28">
        <v>0.0</v>
      </c>
      <c r="V39" s="28">
        <v>0.0</v>
      </c>
      <c r="Z39" s="31">
        <v>0.0</v>
      </c>
      <c r="AA39" s="31">
        <v>0.0</v>
      </c>
      <c r="AF39" s="13">
        <f t="shared" si="11"/>
        <v>0</v>
      </c>
      <c r="AG39" s="33">
        <f t="shared" si="12"/>
        <v>0</v>
      </c>
      <c r="AH39" s="33">
        <f t="shared" si="10"/>
        <v>0</v>
      </c>
      <c r="AI39" s="33">
        <v>5.0</v>
      </c>
      <c r="AJ39" s="33">
        <v>5.0</v>
      </c>
      <c r="AK39" s="33">
        <v>4.0</v>
      </c>
      <c r="AL39" s="33">
        <v>4.0</v>
      </c>
    </row>
    <row r="40">
      <c r="A40" s="20" t="s">
        <v>5</v>
      </c>
      <c r="B40" s="8"/>
      <c r="C40" s="8" t="str">
        <f t="shared" si="7"/>
        <v>-</v>
      </c>
      <c r="D40" s="22"/>
      <c r="E40" s="21" t="s">
        <v>2</v>
      </c>
      <c r="F40" s="22" t="str">
        <f t="shared" si="8"/>
        <v/>
      </c>
      <c r="G40" s="22" t="str">
        <f t="shared" si="9"/>
        <v/>
      </c>
      <c r="K40" s="24">
        <v>1.0</v>
      </c>
      <c r="L40" s="24">
        <v>5.0</v>
      </c>
      <c r="P40" s="26">
        <v>5.0</v>
      </c>
      <c r="Q40" s="26">
        <v>1.0</v>
      </c>
      <c r="U40" s="28">
        <v>0.0</v>
      </c>
      <c r="V40" s="28">
        <v>0.0</v>
      </c>
      <c r="Z40" s="31">
        <v>0.0</v>
      </c>
      <c r="AA40" s="31">
        <v>0.0</v>
      </c>
      <c r="AF40" s="13">
        <f t="shared" si="11"/>
        <v>0</v>
      </c>
      <c r="AG40" s="33">
        <f t="shared" si="12"/>
        <v>0</v>
      </c>
      <c r="AH40" s="33">
        <f t="shared" si="10"/>
        <v>0</v>
      </c>
      <c r="AI40" s="33">
        <v>5.0</v>
      </c>
      <c r="AJ40" s="33">
        <v>5.0</v>
      </c>
      <c r="AK40" s="33">
        <v>4.0</v>
      </c>
      <c r="AL40" s="33">
        <v>4.0</v>
      </c>
    </row>
    <row r="41">
      <c r="A41" s="39"/>
      <c r="B41" s="8"/>
      <c r="C41" s="8" t="str">
        <f t="shared" si="7"/>
        <v/>
      </c>
      <c r="D41" s="8"/>
      <c r="E41" s="46"/>
      <c r="F41" s="22" t="str">
        <f t="shared" si="8"/>
        <v/>
      </c>
      <c r="G41" s="22" t="str">
        <f t="shared" si="9"/>
        <v/>
      </c>
      <c r="K41" s="24">
        <v>1.0</v>
      </c>
      <c r="L41" s="24">
        <v>5.0</v>
      </c>
      <c r="P41" s="26">
        <v>5.0</v>
      </c>
      <c r="Q41" s="26">
        <v>1.0</v>
      </c>
      <c r="U41" s="28">
        <v>0.0</v>
      </c>
      <c r="V41" s="28">
        <v>0.0</v>
      </c>
      <c r="Z41" s="31">
        <v>0.0</v>
      </c>
      <c r="AA41" s="31">
        <v>0.0</v>
      </c>
      <c r="AF41" s="13">
        <f t="shared" si="11"/>
        <v>0</v>
      </c>
      <c r="AG41" s="33">
        <f t="shared" si="12"/>
        <v>0</v>
      </c>
      <c r="AH41" s="33">
        <f t="shared" si="10"/>
        <v>0</v>
      </c>
      <c r="AI41" s="33">
        <v>5.0</v>
      </c>
      <c r="AJ41" s="33">
        <v>5.0</v>
      </c>
      <c r="AK41" s="33">
        <v>4.0</v>
      </c>
      <c r="AL41" s="33">
        <v>4.0</v>
      </c>
    </row>
    <row r="42">
      <c r="A42" s="39"/>
      <c r="B42" s="22"/>
      <c r="C42" s="8" t="str">
        <f t="shared" si="7"/>
        <v/>
      </c>
      <c r="D42" s="22"/>
      <c r="E42" s="46"/>
      <c r="F42" s="22"/>
      <c r="G42" s="22"/>
      <c r="K42" s="24">
        <v>1.0</v>
      </c>
      <c r="L42" s="24">
        <v>5.0</v>
      </c>
      <c r="P42" s="26">
        <v>5.0</v>
      </c>
      <c r="Q42" s="26">
        <v>1.0</v>
      </c>
      <c r="U42" s="28">
        <v>0.0</v>
      </c>
      <c r="V42" s="28">
        <v>0.0</v>
      </c>
      <c r="Z42" s="31">
        <v>0.0</v>
      </c>
      <c r="AA42" s="31">
        <v>0.0</v>
      </c>
      <c r="AF42" s="13">
        <f t="shared" si="11"/>
        <v>0</v>
      </c>
      <c r="AG42" s="33">
        <f t="shared" si="12"/>
        <v>0</v>
      </c>
      <c r="AH42" s="33">
        <f t="shared" si="10"/>
        <v>0</v>
      </c>
      <c r="AI42" s="33">
        <v>5.0</v>
      </c>
      <c r="AJ42" s="33">
        <v>5.0</v>
      </c>
      <c r="AK42" s="33">
        <v>4.0</v>
      </c>
      <c r="AL42" s="33">
        <v>4.0</v>
      </c>
    </row>
    <row r="43">
      <c r="A43" s="39"/>
      <c r="AH43" s="39"/>
      <c r="AI43" s="39"/>
      <c r="AJ43" s="39"/>
      <c r="AK43" s="39"/>
      <c r="AL43" s="39"/>
    </row>
    <row r="44">
      <c r="A44" s="40" t="str">
        <f>IFERROR(__xludf.DUMMYFUNCTION("""Gameweek "" &amp; (VALUE(REGEXEXTRACT(A24, ""Gameweek (\d+)"")) + 1)"),"Gameweek 3")</f>
        <v>Gameweek 3</v>
      </c>
      <c r="F44" s="40"/>
      <c r="G44" s="40"/>
      <c r="H44" s="41" t="str">
        <f>A44</f>
        <v>Gameweek 3</v>
      </c>
      <c r="K44" s="15" t="s">
        <v>21</v>
      </c>
      <c r="L44" s="15" t="s">
        <v>22</v>
      </c>
      <c r="M44" s="42" t="str">
        <f>A44</f>
        <v>Gameweek 3</v>
      </c>
      <c r="P44" s="16" t="s">
        <v>21</v>
      </c>
      <c r="Q44" s="16" t="s">
        <v>22</v>
      </c>
      <c r="R44" s="43" t="str">
        <f>A44</f>
        <v>Gameweek 3</v>
      </c>
      <c r="U44" s="17" t="s">
        <v>21</v>
      </c>
      <c r="V44" s="17" t="s">
        <v>22</v>
      </c>
      <c r="W44" s="44" t="str">
        <f>A44</f>
        <v>Gameweek 3</v>
      </c>
      <c r="Z44" s="18" t="s">
        <v>21</v>
      </c>
      <c r="AA44" s="18" t="s">
        <v>22</v>
      </c>
      <c r="AB44" s="45" t="str">
        <f>A44</f>
        <v>Gameweek 3</v>
      </c>
      <c r="AF44" s="19" t="s">
        <v>21</v>
      </c>
      <c r="AG44" s="19" t="s">
        <v>22</v>
      </c>
      <c r="AH44" s="19" t="s">
        <v>17</v>
      </c>
      <c r="AI44" s="19" t="s">
        <v>23</v>
      </c>
    </row>
    <row r="45">
      <c r="A45" s="47" t="str">
        <f>IFERROR(__xludf.DUMMYFUNCTION("IFERROR(ARRAYFORMULA(FLATTEN(SPLIT(REPT(TEXTJOIN("","", TRUE, FILTER({H$2, M$2, R$2}, {H45, M45, R45} &lt;&gt; """")) &amp; "","", CEILING(18 / COUNTA(FILTER({H$2, M$2, R$2}, {H45, M45, R45} &lt;&gt; """")))), "",""))), """")
"),"Blå")</f>
        <v>Blå</v>
      </c>
      <c r="B45" s="8">
        <v>2.0</v>
      </c>
      <c r="C45" s="8" t="str">
        <f t="shared" ref="C45:C46" si="13">IF(ISBLANK(A45), "", "-")
</f>
        <v>-</v>
      </c>
      <c r="D45" s="8">
        <v>1.0</v>
      </c>
      <c r="E45" s="48" t="str">
        <f t="array" ref="E45:E62">{A62; A45:A61}</f>
        <v>Grön</v>
      </c>
      <c r="F45" s="22" t="str">
        <f t="shared" ref="F45:F61" si="14">IF(AND(B45 &lt;&gt; "", D45 &lt;&gt; ""), IF(B45 &gt; D45, A45, IF(D45 &gt; B45, E45, "Oavgjort")), "")</f>
        <v>Blå</v>
      </c>
      <c r="G45" s="22" t="str">
        <f t="shared" ref="G45:G61" si="15">IF(AND(B45 &lt;&gt; "", D45 &lt;&gt; ""), IF(B45 &lt; D45, A45, IF(D45 &lt; B45, E45, "Oavgjort")), "")
</f>
        <v>Grön</v>
      </c>
      <c r="H45" s="23" t="s">
        <v>28</v>
      </c>
      <c r="I45" s="9">
        <v>1.0</v>
      </c>
      <c r="J45" s="9">
        <v>1.0</v>
      </c>
      <c r="K45" s="24">
        <f t="array" ref="K45:K62">IF(SEQUENCE(18, 1), COUNTIF(F45:F62, $H$2))
</f>
        <v>3</v>
      </c>
      <c r="L45" s="24">
        <f t="array" ref="L45:L62">IF(SEQUENCE(18, 1), COUNTIF(G45:G62, $H$2))
</f>
        <v>2</v>
      </c>
      <c r="M45" s="35" t="s">
        <v>44</v>
      </c>
      <c r="N45" s="10">
        <v>2.0</v>
      </c>
      <c r="O45" s="10">
        <v>1.0</v>
      </c>
      <c r="P45" s="26">
        <f t="array" ref="P45:P62">IF(SEQUENCE(18, 1), COUNTIF(F45:F62, $M$2))
</f>
        <v>6</v>
      </c>
      <c r="Q45" s="26">
        <f t="array" ref="Q45:Q62">IF(SEQUENCE(18, 1), COUNTIF(G45:G62, $M$2))
</f>
        <v>0</v>
      </c>
      <c r="R45" s="36" t="s">
        <v>45</v>
      </c>
      <c r="S45" s="11">
        <v>1.0</v>
      </c>
      <c r="T45" s="11">
        <v>0.0</v>
      </c>
      <c r="U45" s="28">
        <f t="array" ref="U45:U62">IF(SEQUENCE(18, 1), COUNTIF(F45:F62, $R$2))
</f>
        <v>0</v>
      </c>
      <c r="V45" s="28">
        <f t="array" ref="V45:V62">IF(SEQUENCE(18, 1), COUNTIF(G45:G62, $R$2))
</f>
        <v>7</v>
      </c>
      <c r="W45" s="29"/>
      <c r="X45" s="30">
        <v>0.0</v>
      </c>
      <c r="Y45" s="30">
        <v>0.0</v>
      </c>
      <c r="Z45" s="31">
        <f t="array" ref="Z45:Z62">IF(SEQUENCE(18, 1), COUNTIF(F45:F62, $W$2))
</f>
        <v>0</v>
      </c>
      <c r="AA45" s="31">
        <f t="array" ref="AA45:AA62">IF(SEQUENCE(18, 1), COUNTIF(G45:G62, $W$2))
</f>
        <v>0</v>
      </c>
      <c r="AB45" s="32" t="s">
        <v>9</v>
      </c>
      <c r="AC45" s="32" t="s">
        <v>38</v>
      </c>
      <c r="AD45" s="13">
        <v>0.0</v>
      </c>
      <c r="AE45" s="13">
        <v>0.0</v>
      </c>
      <c r="AF45" s="13">
        <f t="shared" ref="AF45:AF62" si="16">IF(AB45 = "Borta", AJ45, (IF(AB45 = "Hemma", AI45, 0)))</f>
        <v>5</v>
      </c>
      <c r="AG45" s="33">
        <f t="shared" ref="AG45:AG62" si="17">IF(AB45 = "Hemma", AJ45, (IF(AB45 = "Borta", AI45, 0)))</f>
        <v>4</v>
      </c>
      <c r="AH45" s="33">
        <f t="shared" ref="AH45:AH62" si="18">IF(AB45 = "Borta", AK45, (IF(AB45 = "Hemma", AL45, 0)))</f>
        <v>5</v>
      </c>
      <c r="AI45" s="33">
        <f t="array" ref="AI45:AI62">IF(F45 &lt;&gt; "",
     SEQUENCE(18,1,1,0)*SUM(IF(A45:A62 = F45:F62, 1, 0)),
     SEQUENCE(18,1,0,0)
  )</f>
        <v>5</v>
      </c>
      <c r="AJ45" s="33">
        <f t="array" ref="AJ45:AJ62">IF(G45 &lt;&gt; "",
     SEQUENCE(18,1,1,0)*SUM(IF(E45:E62 = F45:F62, 1, 0)),
     SEQUENCE(18,1,0,0)
  )</f>
        <v>4</v>
      </c>
      <c r="AK45" s="33">
        <f t="array" ref="AK45:AK62">IF(SEQUENCE(18, 1), COUNTIF(B45:B62, 0))</f>
        <v>5</v>
      </c>
      <c r="AL45" s="33">
        <f t="array" ref="AL45:AL62">IF(SEQUENCE(18, 1), COUNTIF(D45:D62, 0))</f>
        <v>5</v>
      </c>
    </row>
    <row r="46">
      <c r="A46" s="20" t="str">
        <f>IFERROR(__xludf.DUMMYFUNCTION("""COMPUTED_VALUE"""),"Rosa")</f>
        <v>Rosa</v>
      </c>
      <c r="B46" s="8">
        <v>0.0</v>
      </c>
      <c r="C46" s="8" t="str">
        <f t="shared" si="13"/>
        <v>-</v>
      </c>
      <c r="D46" s="8">
        <v>0.0</v>
      </c>
      <c r="E46" s="21" t="s">
        <v>2</v>
      </c>
      <c r="F46" s="22" t="str">
        <f t="shared" si="14"/>
        <v>Oavgjort</v>
      </c>
      <c r="G46" s="22" t="str">
        <f t="shared" si="15"/>
        <v>Oavgjort</v>
      </c>
      <c r="H46" s="38" t="s">
        <v>29</v>
      </c>
      <c r="I46" s="9">
        <v>0.0</v>
      </c>
      <c r="J46" s="9">
        <v>1.0</v>
      </c>
      <c r="K46" s="24">
        <v>3.0</v>
      </c>
      <c r="L46" s="24">
        <v>2.0</v>
      </c>
      <c r="M46" s="25" t="s">
        <v>46</v>
      </c>
      <c r="N46" s="10">
        <v>3.0</v>
      </c>
      <c r="O46" s="10">
        <v>4.0</v>
      </c>
      <c r="P46" s="26">
        <v>6.0</v>
      </c>
      <c r="Q46" s="26">
        <v>0.0</v>
      </c>
      <c r="R46" s="36" t="s">
        <v>47</v>
      </c>
      <c r="S46" s="11">
        <v>1.0</v>
      </c>
      <c r="T46" s="11">
        <v>1.0</v>
      </c>
      <c r="U46" s="28">
        <v>0.0</v>
      </c>
      <c r="V46" s="28">
        <v>7.0</v>
      </c>
      <c r="W46" s="29"/>
      <c r="X46" s="30">
        <v>0.0</v>
      </c>
      <c r="Y46" s="30">
        <v>0.0</v>
      </c>
      <c r="Z46" s="31">
        <v>0.0</v>
      </c>
      <c r="AA46" s="31">
        <v>0.0</v>
      </c>
      <c r="AB46" s="32" t="s">
        <v>11</v>
      </c>
      <c r="AC46" s="32" t="s">
        <v>30</v>
      </c>
      <c r="AD46" s="13">
        <v>0.0</v>
      </c>
      <c r="AE46" s="13">
        <v>0.0</v>
      </c>
      <c r="AF46" s="13">
        <f t="shared" si="16"/>
        <v>4</v>
      </c>
      <c r="AG46" s="33">
        <f t="shared" si="17"/>
        <v>5</v>
      </c>
      <c r="AH46" s="33">
        <f t="shared" si="18"/>
        <v>5</v>
      </c>
      <c r="AI46" s="33">
        <v>5.0</v>
      </c>
      <c r="AJ46" s="33">
        <v>4.0</v>
      </c>
      <c r="AK46" s="33">
        <v>5.0</v>
      </c>
      <c r="AL46" s="33">
        <v>5.0</v>
      </c>
    </row>
    <row r="47">
      <c r="A47" s="20" t="str">
        <f>IFERROR(__xludf.DUMMYFUNCTION("""COMPUTED_VALUE"""),"Grön")</f>
        <v>Grön</v>
      </c>
      <c r="B47" s="8">
        <v>0.0</v>
      </c>
      <c r="C47" s="8" t="s">
        <v>48</v>
      </c>
      <c r="D47" s="8">
        <v>4.0</v>
      </c>
      <c r="E47" s="21" t="s">
        <v>5</v>
      </c>
      <c r="F47" s="22" t="str">
        <f t="shared" si="14"/>
        <v>Rosa</v>
      </c>
      <c r="G47" s="22" t="str">
        <f t="shared" si="15"/>
        <v>Grön</v>
      </c>
      <c r="H47" s="38" t="s">
        <v>49</v>
      </c>
      <c r="I47" s="9">
        <v>4.0</v>
      </c>
      <c r="J47" s="9">
        <v>0.0</v>
      </c>
      <c r="K47" s="24">
        <v>3.0</v>
      </c>
      <c r="L47" s="24">
        <v>2.0</v>
      </c>
      <c r="M47" s="25" t="s">
        <v>27</v>
      </c>
      <c r="N47" s="10">
        <v>4.0</v>
      </c>
      <c r="O47" s="10">
        <v>3.0</v>
      </c>
      <c r="P47" s="26">
        <v>6.0</v>
      </c>
      <c r="Q47" s="26">
        <v>0.0</v>
      </c>
      <c r="R47" s="36" t="s">
        <v>35</v>
      </c>
      <c r="S47" s="11">
        <v>0.0</v>
      </c>
      <c r="T47" s="11">
        <v>0.0</v>
      </c>
      <c r="U47" s="28">
        <v>0.0</v>
      </c>
      <c r="V47" s="28">
        <v>7.0</v>
      </c>
      <c r="W47" s="29"/>
      <c r="X47" s="30">
        <v>0.0</v>
      </c>
      <c r="Y47" s="30">
        <v>0.0</v>
      </c>
      <c r="Z47" s="31">
        <v>0.0</v>
      </c>
      <c r="AA47" s="31">
        <v>0.0</v>
      </c>
      <c r="AB47" s="34"/>
      <c r="AF47" s="13">
        <f t="shared" si="16"/>
        <v>0</v>
      </c>
      <c r="AG47" s="33">
        <f t="shared" si="17"/>
        <v>0</v>
      </c>
      <c r="AH47" s="33">
        <f t="shared" si="18"/>
        <v>0</v>
      </c>
      <c r="AI47" s="33">
        <v>5.0</v>
      </c>
      <c r="AJ47" s="33">
        <v>4.0</v>
      </c>
      <c r="AK47" s="33">
        <v>5.0</v>
      </c>
      <c r="AL47" s="33">
        <v>5.0</v>
      </c>
    </row>
    <row r="48">
      <c r="A48" s="20" t="str">
        <f>IFERROR(__xludf.DUMMYFUNCTION("""COMPUTED_VALUE"""),"Blå")</f>
        <v>Blå</v>
      </c>
      <c r="B48" s="8">
        <v>2.0</v>
      </c>
      <c r="C48" s="8" t="str">
        <f t="shared" ref="C48:C62" si="19">IF(ISBLANK(A48), "", "-")
</f>
        <v>-</v>
      </c>
      <c r="D48" s="8">
        <v>0.0</v>
      </c>
      <c r="E48" s="21" t="s">
        <v>6</v>
      </c>
      <c r="F48" s="22" t="str">
        <f t="shared" si="14"/>
        <v>Blå</v>
      </c>
      <c r="G48" s="22" t="str">
        <f t="shared" si="15"/>
        <v>Grön</v>
      </c>
      <c r="H48" s="38" t="s">
        <v>34</v>
      </c>
      <c r="I48" s="9">
        <v>1.0</v>
      </c>
      <c r="J48" s="9">
        <v>0.0</v>
      </c>
      <c r="K48" s="24">
        <v>3.0</v>
      </c>
      <c r="L48" s="24">
        <v>2.0</v>
      </c>
      <c r="M48" s="35" t="s">
        <v>36</v>
      </c>
      <c r="N48" s="10">
        <v>7.0</v>
      </c>
      <c r="O48" s="10">
        <v>2.0</v>
      </c>
      <c r="P48" s="26">
        <v>6.0</v>
      </c>
      <c r="Q48" s="26">
        <v>0.0</v>
      </c>
      <c r="R48" s="27" t="s">
        <v>50</v>
      </c>
      <c r="S48" s="11">
        <v>0.0</v>
      </c>
      <c r="T48" s="11">
        <v>0.0</v>
      </c>
      <c r="U48" s="28">
        <v>0.0</v>
      </c>
      <c r="V48" s="28">
        <v>7.0</v>
      </c>
      <c r="W48" s="29"/>
      <c r="X48" s="30">
        <v>0.0</v>
      </c>
      <c r="Y48" s="30">
        <v>0.0</v>
      </c>
      <c r="Z48" s="31">
        <v>0.0</v>
      </c>
      <c r="AA48" s="31">
        <v>0.0</v>
      </c>
      <c r="AF48" s="13">
        <f t="shared" si="16"/>
        <v>0</v>
      </c>
      <c r="AG48" s="33">
        <f t="shared" si="17"/>
        <v>0</v>
      </c>
      <c r="AH48" s="33">
        <f t="shared" si="18"/>
        <v>0</v>
      </c>
      <c r="AI48" s="33">
        <v>5.0</v>
      </c>
      <c r="AJ48" s="33">
        <v>4.0</v>
      </c>
      <c r="AK48" s="33">
        <v>5.0</v>
      </c>
      <c r="AL48" s="33">
        <v>5.0</v>
      </c>
    </row>
    <row r="49">
      <c r="A49" s="20" t="str">
        <f>IFERROR(__xludf.DUMMYFUNCTION("""COMPUTED_VALUE"""),"Rosa")</f>
        <v>Rosa</v>
      </c>
      <c r="B49" s="8">
        <v>1.0</v>
      </c>
      <c r="C49" s="8" t="str">
        <f t="shared" si="19"/>
        <v>-</v>
      </c>
      <c r="D49" s="8">
        <v>0.0</v>
      </c>
      <c r="E49" s="21" t="s">
        <v>2</v>
      </c>
      <c r="F49" s="22" t="str">
        <f t="shared" si="14"/>
        <v>Rosa</v>
      </c>
      <c r="G49" s="22" t="str">
        <f t="shared" si="15"/>
        <v>Blå</v>
      </c>
      <c r="H49" s="38" t="s">
        <v>51</v>
      </c>
      <c r="I49" s="9">
        <v>3.0</v>
      </c>
      <c r="J49" s="9">
        <v>2.0</v>
      </c>
      <c r="K49" s="24">
        <v>3.0</v>
      </c>
      <c r="L49" s="24">
        <v>2.0</v>
      </c>
      <c r="M49" s="35" t="s">
        <v>52</v>
      </c>
      <c r="N49" s="10">
        <v>0.0</v>
      </c>
      <c r="O49" s="10">
        <v>2.0</v>
      </c>
      <c r="P49" s="26">
        <v>6.0</v>
      </c>
      <c r="Q49" s="26">
        <v>0.0</v>
      </c>
      <c r="R49" s="36" t="s">
        <v>26</v>
      </c>
      <c r="S49" s="11">
        <v>0.0</v>
      </c>
      <c r="T49" s="11">
        <v>0.0</v>
      </c>
      <c r="U49" s="28">
        <v>0.0</v>
      </c>
      <c r="V49" s="28">
        <v>7.0</v>
      </c>
      <c r="W49" s="29"/>
      <c r="X49" s="30">
        <v>0.0</v>
      </c>
      <c r="Y49" s="30">
        <v>0.0</v>
      </c>
      <c r="Z49" s="31">
        <v>0.0</v>
      </c>
      <c r="AA49" s="31">
        <v>0.0</v>
      </c>
      <c r="AF49" s="13">
        <f t="shared" si="16"/>
        <v>0</v>
      </c>
      <c r="AG49" s="33">
        <f t="shared" si="17"/>
        <v>0</v>
      </c>
      <c r="AH49" s="33">
        <f t="shared" si="18"/>
        <v>0</v>
      </c>
      <c r="AI49" s="33">
        <v>5.0</v>
      </c>
      <c r="AJ49" s="33">
        <v>4.0</v>
      </c>
      <c r="AK49" s="33">
        <v>5.0</v>
      </c>
      <c r="AL49" s="33">
        <v>5.0</v>
      </c>
    </row>
    <row r="50">
      <c r="A50" s="20" t="str">
        <f>IFERROR(__xludf.DUMMYFUNCTION("""COMPUTED_VALUE"""),"Grön")</f>
        <v>Grön</v>
      </c>
      <c r="B50" s="8">
        <v>0.0</v>
      </c>
      <c r="C50" s="8" t="str">
        <f t="shared" si="19"/>
        <v>-</v>
      </c>
      <c r="D50" s="8">
        <v>2.0</v>
      </c>
      <c r="E50" s="21" t="s">
        <v>5</v>
      </c>
      <c r="F50" s="22" t="str">
        <f t="shared" si="14"/>
        <v>Rosa</v>
      </c>
      <c r="G50" s="22" t="str">
        <f t="shared" si="15"/>
        <v>Grön</v>
      </c>
      <c r="H50" s="38"/>
      <c r="I50" s="9">
        <v>0.0</v>
      </c>
      <c r="J50" s="9">
        <v>0.0</v>
      </c>
      <c r="K50" s="24">
        <v>3.0</v>
      </c>
      <c r="L50" s="24">
        <v>2.0</v>
      </c>
      <c r="M50" s="35"/>
      <c r="N50" s="10">
        <v>0.0</v>
      </c>
      <c r="O50" s="10">
        <v>0.0</v>
      </c>
      <c r="P50" s="26">
        <v>6.0</v>
      </c>
      <c r="Q50" s="26">
        <v>0.0</v>
      </c>
      <c r="R50" s="36"/>
      <c r="S50" s="11">
        <v>0.0</v>
      </c>
      <c r="T50" s="11">
        <v>0.0</v>
      </c>
      <c r="U50" s="28">
        <v>0.0</v>
      </c>
      <c r="V50" s="28">
        <v>7.0</v>
      </c>
      <c r="W50" s="29"/>
      <c r="X50" s="30">
        <v>0.0</v>
      </c>
      <c r="Y50" s="30">
        <v>0.0</v>
      </c>
      <c r="Z50" s="31">
        <v>0.0</v>
      </c>
      <c r="AA50" s="31">
        <v>0.0</v>
      </c>
      <c r="AF50" s="13">
        <f t="shared" si="16"/>
        <v>0</v>
      </c>
      <c r="AG50" s="33">
        <f t="shared" si="17"/>
        <v>0</v>
      </c>
      <c r="AH50" s="33">
        <f t="shared" si="18"/>
        <v>0</v>
      </c>
      <c r="AI50" s="33">
        <v>5.0</v>
      </c>
      <c r="AJ50" s="33">
        <v>4.0</v>
      </c>
      <c r="AK50" s="33">
        <v>5.0</v>
      </c>
      <c r="AL50" s="33">
        <v>5.0</v>
      </c>
    </row>
    <row r="51">
      <c r="A51" s="20" t="str">
        <f>IFERROR(__xludf.DUMMYFUNCTION("""COMPUTED_VALUE"""),"Blå")</f>
        <v>Blå</v>
      </c>
      <c r="B51" s="8">
        <v>2.0</v>
      </c>
      <c r="C51" s="8" t="str">
        <f t="shared" si="19"/>
        <v>-</v>
      </c>
      <c r="D51" s="8">
        <v>0.0</v>
      </c>
      <c r="E51" s="21" t="s">
        <v>6</v>
      </c>
      <c r="F51" s="22" t="str">
        <f t="shared" si="14"/>
        <v>Blå</v>
      </c>
      <c r="G51" s="22" t="str">
        <f t="shared" si="15"/>
        <v>Grön</v>
      </c>
      <c r="H51" s="38"/>
      <c r="I51" s="9">
        <v>0.0</v>
      </c>
      <c r="J51" s="9">
        <v>0.0</v>
      </c>
      <c r="K51" s="24">
        <v>3.0</v>
      </c>
      <c r="L51" s="24">
        <v>2.0</v>
      </c>
      <c r="M51" s="35"/>
      <c r="N51" s="10">
        <v>0.0</v>
      </c>
      <c r="O51" s="10">
        <v>0.0</v>
      </c>
      <c r="P51" s="26">
        <v>6.0</v>
      </c>
      <c r="Q51" s="26">
        <v>0.0</v>
      </c>
      <c r="R51" s="36"/>
      <c r="S51" s="11">
        <v>0.0</v>
      </c>
      <c r="T51" s="11">
        <v>0.0</v>
      </c>
      <c r="U51" s="28">
        <v>0.0</v>
      </c>
      <c r="V51" s="28">
        <v>7.0</v>
      </c>
      <c r="W51" s="29"/>
      <c r="X51" s="30">
        <v>0.0</v>
      </c>
      <c r="Y51" s="30">
        <v>0.0</v>
      </c>
      <c r="Z51" s="31">
        <v>0.0</v>
      </c>
      <c r="AA51" s="31">
        <v>0.0</v>
      </c>
      <c r="AF51" s="13">
        <f t="shared" si="16"/>
        <v>0</v>
      </c>
      <c r="AG51" s="33">
        <f t="shared" si="17"/>
        <v>0</v>
      </c>
      <c r="AH51" s="33">
        <f t="shared" si="18"/>
        <v>0</v>
      </c>
      <c r="AI51" s="33">
        <v>5.0</v>
      </c>
      <c r="AJ51" s="33">
        <v>4.0</v>
      </c>
      <c r="AK51" s="33">
        <v>5.0</v>
      </c>
      <c r="AL51" s="33">
        <v>5.0</v>
      </c>
    </row>
    <row r="52">
      <c r="A52" s="20" t="str">
        <f>IFERROR(__xludf.DUMMYFUNCTION("""COMPUTED_VALUE"""),"Rosa")</f>
        <v>Rosa</v>
      </c>
      <c r="B52" s="8">
        <v>1.0</v>
      </c>
      <c r="C52" s="8" t="str">
        <f t="shared" si="19"/>
        <v>-</v>
      </c>
      <c r="D52" s="8">
        <v>1.0</v>
      </c>
      <c r="E52" s="21" t="s">
        <v>2</v>
      </c>
      <c r="F52" s="22" t="str">
        <f t="shared" si="14"/>
        <v>Oavgjort</v>
      </c>
      <c r="G52" s="22" t="str">
        <f t="shared" si="15"/>
        <v>Oavgjort</v>
      </c>
      <c r="H52" s="38"/>
      <c r="K52" s="24">
        <v>3.0</v>
      </c>
      <c r="L52" s="24">
        <v>2.0</v>
      </c>
      <c r="M52" s="35"/>
      <c r="P52" s="26">
        <v>6.0</v>
      </c>
      <c r="Q52" s="26">
        <v>0.0</v>
      </c>
      <c r="R52" s="36"/>
      <c r="U52" s="28">
        <v>0.0</v>
      </c>
      <c r="V52" s="28">
        <v>7.0</v>
      </c>
      <c r="W52" s="37"/>
      <c r="Z52" s="31">
        <v>0.0</v>
      </c>
      <c r="AA52" s="31">
        <v>0.0</v>
      </c>
      <c r="AF52" s="13">
        <f t="shared" si="16"/>
        <v>0</v>
      </c>
      <c r="AG52" s="33">
        <f t="shared" si="17"/>
        <v>0</v>
      </c>
      <c r="AH52" s="33">
        <f t="shared" si="18"/>
        <v>0</v>
      </c>
      <c r="AI52" s="33">
        <v>5.0</v>
      </c>
      <c r="AJ52" s="33">
        <v>4.0</v>
      </c>
      <c r="AK52" s="33">
        <v>5.0</v>
      </c>
      <c r="AL52" s="33">
        <v>5.0</v>
      </c>
    </row>
    <row r="53">
      <c r="A53" s="20" t="str">
        <f>IFERROR(__xludf.DUMMYFUNCTION("""COMPUTED_VALUE"""),"Grön")</f>
        <v>Grön</v>
      </c>
      <c r="B53" s="8">
        <v>1.0</v>
      </c>
      <c r="C53" s="8" t="str">
        <f t="shared" si="19"/>
        <v>-</v>
      </c>
      <c r="D53" s="8">
        <v>2.0</v>
      </c>
      <c r="E53" s="21" t="s">
        <v>5</v>
      </c>
      <c r="F53" s="22" t="str">
        <f t="shared" si="14"/>
        <v>Rosa</v>
      </c>
      <c r="G53" s="22" t="str">
        <f t="shared" si="15"/>
        <v>Grön</v>
      </c>
      <c r="K53" s="24">
        <v>3.0</v>
      </c>
      <c r="L53" s="24">
        <v>2.0</v>
      </c>
      <c r="P53" s="26">
        <v>6.0</v>
      </c>
      <c r="Q53" s="26">
        <v>0.0</v>
      </c>
      <c r="U53" s="28">
        <v>0.0</v>
      </c>
      <c r="V53" s="28">
        <v>7.0</v>
      </c>
      <c r="Z53" s="31">
        <v>0.0</v>
      </c>
      <c r="AA53" s="31">
        <v>0.0</v>
      </c>
      <c r="AF53" s="13">
        <f t="shared" si="16"/>
        <v>0</v>
      </c>
      <c r="AG53" s="33">
        <f t="shared" si="17"/>
        <v>0</v>
      </c>
      <c r="AH53" s="33">
        <f t="shared" si="18"/>
        <v>0</v>
      </c>
      <c r="AI53" s="33">
        <v>5.0</v>
      </c>
      <c r="AJ53" s="33">
        <v>4.0</v>
      </c>
      <c r="AK53" s="33">
        <v>5.0</v>
      </c>
      <c r="AL53" s="33">
        <v>5.0</v>
      </c>
    </row>
    <row r="54">
      <c r="A54" s="20" t="str">
        <f>IFERROR(__xludf.DUMMYFUNCTION("""COMPUTED_VALUE"""),"Blå")</f>
        <v>Blå</v>
      </c>
      <c r="B54" s="8">
        <v>0.0</v>
      </c>
      <c r="C54" s="8" t="str">
        <f t="shared" si="19"/>
        <v>-</v>
      </c>
      <c r="D54" s="8">
        <v>0.0</v>
      </c>
      <c r="E54" s="21" t="s">
        <v>6</v>
      </c>
      <c r="F54" s="22" t="str">
        <f t="shared" si="14"/>
        <v>Oavgjort</v>
      </c>
      <c r="G54" s="22" t="str">
        <f t="shared" si="15"/>
        <v>Oavgjort</v>
      </c>
      <c r="K54" s="24">
        <v>3.0</v>
      </c>
      <c r="L54" s="24">
        <v>2.0</v>
      </c>
      <c r="P54" s="26">
        <v>6.0</v>
      </c>
      <c r="Q54" s="26">
        <v>0.0</v>
      </c>
      <c r="U54" s="28">
        <v>0.0</v>
      </c>
      <c r="V54" s="28">
        <v>7.0</v>
      </c>
      <c r="Z54" s="31">
        <v>0.0</v>
      </c>
      <c r="AA54" s="31">
        <v>0.0</v>
      </c>
      <c r="AF54" s="13">
        <f t="shared" si="16"/>
        <v>0</v>
      </c>
      <c r="AG54" s="33">
        <f t="shared" si="17"/>
        <v>0</v>
      </c>
      <c r="AH54" s="33">
        <f t="shared" si="18"/>
        <v>0</v>
      </c>
      <c r="AI54" s="33">
        <v>5.0</v>
      </c>
      <c r="AJ54" s="33">
        <v>4.0</v>
      </c>
      <c r="AK54" s="33">
        <v>5.0</v>
      </c>
      <c r="AL54" s="33">
        <v>5.0</v>
      </c>
    </row>
    <row r="55">
      <c r="A55" s="20" t="str">
        <f>IFERROR(__xludf.DUMMYFUNCTION("""COMPUTED_VALUE"""),"Rosa")</f>
        <v>Rosa</v>
      </c>
      <c r="B55" s="8">
        <v>2.0</v>
      </c>
      <c r="C55" s="8" t="str">
        <f t="shared" si="19"/>
        <v>-</v>
      </c>
      <c r="D55" s="8">
        <v>1.0</v>
      </c>
      <c r="E55" s="21" t="s">
        <v>2</v>
      </c>
      <c r="F55" s="22" t="str">
        <f t="shared" si="14"/>
        <v>Rosa</v>
      </c>
      <c r="G55" s="22" t="str">
        <f t="shared" si="15"/>
        <v>Blå</v>
      </c>
      <c r="K55" s="24">
        <v>3.0</v>
      </c>
      <c r="L55" s="24">
        <v>2.0</v>
      </c>
      <c r="P55" s="26">
        <v>6.0</v>
      </c>
      <c r="Q55" s="26">
        <v>0.0</v>
      </c>
      <c r="U55" s="28">
        <v>0.0</v>
      </c>
      <c r="V55" s="28">
        <v>7.0</v>
      </c>
      <c r="Z55" s="31">
        <v>0.0</v>
      </c>
      <c r="AA55" s="31">
        <v>0.0</v>
      </c>
      <c r="AF55" s="13">
        <f t="shared" si="16"/>
        <v>0</v>
      </c>
      <c r="AG55" s="33">
        <f t="shared" si="17"/>
        <v>0</v>
      </c>
      <c r="AH55" s="33">
        <f t="shared" si="18"/>
        <v>0</v>
      </c>
      <c r="AI55" s="33">
        <v>5.0</v>
      </c>
      <c r="AJ55" s="33">
        <v>4.0</v>
      </c>
      <c r="AK55" s="33">
        <v>5.0</v>
      </c>
      <c r="AL55" s="33">
        <v>5.0</v>
      </c>
    </row>
    <row r="56">
      <c r="A56" s="20" t="str">
        <f>IFERROR(__xludf.DUMMYFUNCTION("""COMPUTED_VALUE"""),"Grön")</f>
        <v>Grön</v>
      </c>
      <c r="B56" s="8">
        <v>0.0</v>
      </c>
      <c r="C56" s="8" t="str">
        <f t="shared" si="19"/>
        <v>-</v>
      </c>
      <c r="D56" s="8">
        <v>3.0</v>
      </c>
      <c r="E56" s="21" t="s">
        <v>5</v>
      </c>
      <c r="F56" s="22" t="str">
        <f t="shared" si="14"/>
        <v>Rosa</v>
      </c>
      <c r="G56" s="22" t="str">
        <f t="shared" si="15"/>
        <v>Grön</v>
      </c>
      <c r="K56" s="24">
        <v>3.0</v>
      </c>
      <c r="L56" s="24">
        <v>2.0</v>
      </c>
      <c r="P56" s="26">
        <v>6.0</v>
      </c>
      <c r="Q56" s="26">
        <v>0.0</v>
      </c>
      <c r="U56" s="28">
        <v>0.0</v>
      </c>
      <c r="V56" s="28">
        <v>7.0</v>
      </c>
      <c r="Z56" s="31">
        <v>0.0</v>
      </c>
      <c r="AA56" s="31">
        <v>0.0</v>
      </c>
      <c r="AF56" s="13">
        <f t="shared" si="16"/>
        <v>0</v>
      </c>
      <c r="AG56" s="33">
        <f t="shared" si="17"/>
        <v>0</v>
      </c>
      <c r="AH56" s="33">
        <f t="shared" si="18"/>
        <v>0</v>
      </c>
      <c r="AI56" s="33">
        <v>5.0</v>
      </c>
      <c r="AJ56" s="33">
        <v>4.0</v>
      </c>
      <c r="AK56" s="33">
        <v>5.0</v>
      </c>
      <c r="AL56" s="33">
        <v>5.0</v>
      </c>
    </row>
    <row r="57">
      <c r="A57" s="20" t="str">
        <f>IFERROR(__xludf.DUMMYFUNCTION("""COMPUTED_VALUE"""),"Blå")</f>
        <v>Blå</v>
      </c>
      <c r="B57" s="8">
        <v>2.0</v>
      </c>
      <c r="C57" s="8" t="str">
        <f t="shared" si="19"/>
        <v>-</v>
      </c>
      <c r="D57" s="8"/>
      <c r="E57" s="21" t="s">
        <v>6</v>
      </c>
      <c r="F57" s="22" t="str">
        <f t="shared" si="14"/>
        <v/>
      </c>
      <c r="G57" s="22" t="str">
        <f t="shared" si="15"/>
        <v/>
      </c>
      <c r="K57" s="24">
        <v>3.0</v>
      </c>
      <c r="L57" s="24">
        <v>2.0</v>
      </c>
      <c r="P57" s="26">
        <v>6.0</v>
      </c>
      <c r="Q57" s="26">
        <v>0.0</v>
      </c>
      <c r="U57" s="28">
        <v>0.0</v>
      </c>
      <c r="V57" s="28">
        <v>7.0</v>
      </c>
      <c r="Z57" s="31">
        <v>0.0</v>
      </c>
      <c r="AA57" s="31">
        <v>0.0</v>
      </c>
      <c r="AF57" s="13">
        <f t="shared" si="16"/>
        <v>0</v>
      </c>
      <c r="AG57" s="33">
        <f t="shared" si="17"/>
        <v>0</v>
      </c>
      <c r="AH57" s="33">
        <f t="shared" si="18"/>
        <v>0</v>
      </c>
      <c r="AI57" s="33">
        <v>5.0</v>
      </c>
      <c r="AJ57" s="33">
        <v>4.0</v>
      </c>
      <c r="AK57" s="33">
        <v>5.0</v>
      </c>
      <c r="AL57" s="33">
        <v>5.0</v>
      </c>
    </row>
    <row r="58">
      <c r="A58" s="20" t="str">
        <f>IFERROR(__xludf.DUMMYFUNCTION("""COMPUTED_VALUE"""),"Rosa")</f>
        <v>Rosa</v>
      </c>
      <c r="B58" s="8"/>
      <c r="C58" s="8" t="str">
        <f t="shared" si="19"/>
        <v>-</v>
      </c>
      <c r="D58" s="8"/>
      <c r="E58" s="21" t="s">
        <v>2</v>
      </c>
      <c r="F58" s="22" t="str">
        <f t="shared" si="14"/>
        <v/>
      </c>
      <c r="G58" s="22" t="str">
        <f t="shared" si="15"/>
        <v/>
      </c>
      <c r="K58" s="24">
        <v>3.0</v>
      </c>
      <c r="L58" s="24">
        <v>2.0</v>
      </c>
      <c r="P58" s="26">
        <v>6.0</v>
      </c>
      <c r="Q58" s="26">
        <v>0.0</v>
      </c>
      <c r="U58" s="28">
        <v>0.0</v>
      </c>
      <c r="V58" s="28">
        <v>7.0</v>
      </c>
      <c r="Z58" s="31">
        <v>0.0</v>
      </c>
      <c r="AA58" s="31">
        <v>0.0</v>
      </c>
      <c r="AF58" s="13">
        <f t="shared" si="16"/>
        <v>0</v>
      </c>
      <c r="AG58" s="33">
        <f t="shared" si="17"/>
        <v>0</v>
      </c>
      <c r="AH58" s="33">
        <f t="shared" si="18"/>
        <v>0</v>
      </c>
      <c r="AI58" s="33">
        <v>5.0</v>
      </c>
      <c r="AJ58" s="33">
        <v>4.0</v>
      </c>
      <c r="AK58" s="33">
        <v>5.0</v>
      </c>
      <c r="AL58" s="33">
        <v>5.0</v>
      </c>
    </row>
    <row r="59">
      <c r="A59" s="20" t="str">
        <f>IFERROR(__xludf.DUMMYFUNCTION("""COMPUTED_VALUE"""),"Grön")</f>
        <v>Grön</v>
      </c>
      <c r="B59" s="8"/>
      <c r="C59" s="8" t="str">
        <f t="shared" si="19"/>
        <v>-</v>
      </c>
      <c r="D59" s="8"/>
      <c r="E59" s="21" t="s">
        <v>5</v>
      </c>
      <c r="F59" s="22" t="str">
        <f t="shared" si="14"/>
        <v/>
      </c>
      <c r="G59" s="22" t="str">
        <f t="shared" si="15"/>
        <v/>
      </c>
      <c r="K59" s="24">
        <v>3.0</v>
      </c>
      <c r="L59" s="24">
        <v>2.0</v>
      </c>
      <c r="P59" s="26">
        <v>6.0</v>
      </c>
      <c r="Q59" s="26">
        <v>0.0</v>
      </c>
      <c r="U59" s="28">
        <v>0.0</v>
      </c>
      <c r="V59" s="28">
        <v>7.0</v>
      </c>
      <c r="Z59" s="31">
        <v>0.0</v>
      </c>
      <c r="AA59" s="31">
        <v>0.0</v>
      </c>
      <c r="AF59" s="13">
        <f t="shared" si="16"/>
        <v>0</v>
      </c>
      <c r="AG59" s="33">
        <f t="shared" si="17"/>
        <v>0</v>
      </c>
      <c r="AH59" s="33">
        <f t="shared" si="18"/>
        <v>0</v>
      </c>
      <c r="AI59" s="33">
        <v>5.0</v>
      </c>
      <c r="AJ59" s="33">
        <v>4.0</v>
      </c>
      <c r="AK59" s="33">
        <v>5.0</v>
      </c>
      <c r="AL59" s="33">
        <v>5.0</v>
      </c>
    </row>
    <row r="60">
      <c r="A60" s="20" t="str">
        <f>IFERROR(__xludf.DUMMYFUNCTION("""COMPUTED_VALUE"""),"Blå")</f>
        <v>Blå</v>
      </c>
      <c r="B60" s="8"/>
      <c r="C60" s="8" t="str">
        <f t="shared" si="19"/>
        <v>-</v>
      </c>
      <c r="D60" s="22"/>
      <c r="E60" s="21" t="s">
        <v>6</v>
      </c>
      <c r="F60" s="22" t="str">
        <f t="shared" si="14"/>
        <v/>
      </c>
      <c r="G60" s="22" t="str">
        <f t="shared" si="15"/>
        <v/>
      </c>
      <c r="K60" s="24">
        <v>3.0</v>
      </c>
      <c r="L60" s="24">
        <v>2.0</v>
      </c>
      <c r="P60" s="26">
        <v>6.0</v>
      </c>
      <c r="Q60" s="26">
        <v>0.0</v>
      </c>
      <c r="U60" s="28">
        <v>0.0</v>
      </c>
      <c r="V60" s="28">
        <v>7.0</v>
      </c>
      <c r="Z60" s="31">
        <v>0.0</v>
      </c>
      <c r="AA60" s="31">
        <v>0.0</v>
      </c>
      <c r="AF60" s="13">
        <f t="shared" si="16"/>
        <v>0</v>
      </c>
      <c r="AG60" s="33">
        <f t="shared" si="17"/>
        <v>0</v>
      </c>
      <c r="AH60" s="33">
        <f t="shared" si="18"/>
        <v>0</v>
      </c>
      <c r="AI60" s="33">
        <v>5.0</v>
      </c>
      <c r="AJ60" s="33">
        <v>4.0</v>
      </c>
      <c r="AK60" s="33">
        <v>5.0</v>
      </c>
      <c r="AL60" s="33">
        <v>5.0</v>
      </c>
    </row>
    <row r="61">
      <c r="A61" s="39" t="str">
        <f>IFERROR(__xludf.DUMMYFUNCTION("""COMPUTED_VALUE"""),"Rosa")</f>
        <v>Rosa</v>
      </c>
      <c r="B61" s="8"/>
      <c r="C61" s="8" t="str">
        <f t="shared" si="19"/>
        <v>-</v>
      </c>
      <c r="D61" s="8"/>
      <c r="E61" s="46" t="s">
        <v>2</v>
      </c>
      <c r="F61" s="22" t="str">
        <f t="shared" si="14"/>
        <v/>
      </c>
      <c r="G61" s="22" t="str">
        <f t="shared" si="15"/>
        <v/>
      </c>
      <c r="K61" s="24">
        <v>3.0</v>
      </c>
      <c r="L61" s="24">
        <v>2.0</v>
      </c>
      <c r="P61" s="26">
        <v>6.0</v>
      </c>
      <c r="Q61" s="26">
        <v>0.0</v>
      </c>
      <c r="U61" s="28">
        <v>0.0</v>
      </c>
      <c r="V61" s="28">
        <v>7.0</v>
      </c>
      <c r="Z61" s="31">
        <v>0.0</v>
      </c>
      <c r="AA61" s="31">
        <v>0.0</v>
      </c>
      <c r="AF61" s="13">
        <f t="shared" si="16"/>
        <v>0</v>
      </c>
      <c r="AG61" s="33">
        <f t="shared" si="17"/>
        <v>0</v>
      </c>
      <c r="AH61" s="33">
        <f t="shared" si="18"/>
        <v>0</v>
      </c>
      <c r="AI61" s="33">
        <v>5.0</v>
      </c>
      <c r="AJ61" s="33">
        <v>4.0</v>
      </c>
      <c r="AK61" s="33">
        <v>5.0</v>
      </c>
      <c r="AL61" s="33">
        <v>5.0</v>
      </c>
    </row>
    <row r="62">
      <c r="A62" s="39" t="str">
        <f>IFERROR(__xludf.DUMMYFUNCTION("""COMPUTED_VALUE"""),"Grön")</f>
        <v>Grön</v>
      </c>
      <c r="B62" s="22"/>
      <c r="C62" s="8" t="str">
        <f t="shared" si="19"/>
        <v>-</v>
      </c>
      <c r="D62" s="22"/>
      <c r="E62" s="46" t="s">
        <v>5</v>
      </c>
      <c r="F62" s="22"/>
      <c r="G62" s="22"/>
      <c r="K62" s="24">
        <v>3.0</v>
      </c>
      <c r="L62" s="24">
        <v>2.0</v>
      </c>
      <c r="P62" s="26">
        <v>6.0</v>
      </c>
      <c r="Q62" s="26">
        <v>0.0</v>
      </c>
      <c r="U62" s="28">
        <v>0.0</v>
      </c>
      <c r="V62" s="28">
        <v>7.0</v>
      </c>
      <c r="Z62" s="31">
        <v>0.0</v>
      </c>
      <c r="AA62" s="31">
        <v>0.0</v>
      </c>
      <c r="AF62" s="13">
        <f t="shared" si="16"/>
        <v>0</v>
      </c>
      <c r="AG62" s="33">
        <f t="shared" si="17"/>
        <v>0</v>
      </c>
      <c r="AH62" s="33">
        <f t="shared" si="18"/>
        <v>0</v>
      </c>
      <c r="AI62" s="33">
        <v>5.0</v>
      </c>
      <c r="AJ62" s="33">
        <v>4.0</v>
      </c>
      <c r="AK62" s="33">
        <v>5.0</v>
      </c>
      <c r="AL62" s="33">
        <v>5.0</v>
      </c>
    </row>
    <row r="63">
      <c r="A63" s="39"/>
      <c r="AH63" s="39"/>
      <c r="AI63" s="39"/>
      <c r="AJ63" s="39"/>
      <c r="AK63" s="39"/>
      <c r="AL63" s="39"/>
    </row>
    <row r="64">
      <c r="A64" s="40" t="str">
        <f>IFERROR(__xludf.DUMMYFUNCTION("""Gameweek "" &amp; (VALUE(REGEXEXTRACT(A44, ""Gameweek (\d+)"")) + 1)"),"Gameweek 4")</f>
        <v>Gameweek 4</v>
      </c>
      <c r="F64" s="40"/>
      <c r="G64" s="40"/>
      <c r="H64" s="41" t="str">
        <f>A64</f>
        <v>Gameweek 4</v>
      </c>
      <c r="K64" s="15" t="s">
        <v>21</v>
      </c>
      <c r="L64" s="15" t="s">
        <v>22</v>
      </c>
      <c r="M64" s="42" t="str">
        <f>A64</f>
        <v>Gameweek 4</v>
      </c>
      <c r="P64" s="16" t="s">
        <v>21</v>
      </c>
      <c r="Q64" s="16" t="s">
        <v>22</v>
      </c>
      <c r="R64" s="43" t="str">
        <f>A64</f>
        <v>Gameweek 4</v>
      </c>
      <c r="U64" s="17" t="s">
        <v>21</v>
      </c>
      <c r="V64" s="17" t="s">
        <v>22</v>
      </c>
      <c r="W64" s="44" t="str">
        <f>A64</f>
        <v>Gameweek 4</v>
      </c>
      <c r="Z64" s="18" t="s">
        <v>21</v>
      </c>
      <c r="AA64" s="18" t="s">
        <v>22</v>
      </c>
      <c r="AB64" s="45" t="str">
        <f>A64</f>
        <v>Gameweek 4</v>
      </c>
      <c r="AF64" s="19" t="s">
        <v>21</v>
      </c>
      <c r="AG64" s="19" t="s">
        <v>22</v>
      </c>
      <c r="AH64" s="19" t="s">
        <v>17</v>
      </c>
      <c r="AI64" s="19" t="s">
        <v>23</v>
      </c>
    </row>
    <row r="65">
      <c r="A65" s="47" t="str">
        <f>IFERROR(__xludf.DUMMYFUNCTION("IFERROR(ARRAYFORMULA(FLATTEN(SPLIT(REPT(TEXTJOIN("","", TRUE, FILTER({H$2, M$2, R$2}, {H65, M65, R65} &lt;&gt; """")) &amp; "","", CEILING(18 / COUNTA(FILTER({H$2, M$2, R$2}, {H65, M65, R65} &lt;&gt; """")))), "",""))), """")
"),"Blå")</f>
        <v>Blå</v>
      </c>
      <c r="B65" s="8">
        <v>3.0</v>
      </c>
      <c r="C65" s="8" t="str">
        <f t="shared" ref="C65:C82" si="20">IF(ISBLANK(A65), "", "-")
</f>
        <v>-</v>
      </c>
      <c r="D65" s="8">
        <v>0.0</v>
      </c>
      <c r="E65" s="48" t="str">
        <f t="array" ref="E65:E82">{A82; A65:A81}</f>
        <v>Rosa</v>
      </c>
      <c r="F65" s="22" t="str">
        <f t="shared" ref="F65:F81" si="21">IF(AND(B65 &lt;&gt; "", D65 &lt;&gt; ""), IF(B65 &gt; D65, A65, IF(D65 &gt; B65, E65, "Oavgjort")), "")</f>
        <v>Blå</v>
      </c>
      <c r="G65" s="22" t="str">
        <f t="shared" ref="G65:G81" si="22">IF(AND(B65 &lt;&gt; "", D65 &lt;&gt; ""), IF(B65 &lt; D65, A65, IF(D65 &lt; B65, E65, "Oavgjort")), "")
</f>
        <v>Rosa</v>
      </c>
      <c r="H65" s="49" t="s">
        <v>53</v>
      </c>
      <c r="I65" s="9">
        <v>0.0</v>
      </c>
      <c r="J65" s="9">
        <v>2.0</v>
      </c>
      <c r="K65" s="24">
        <f t="array" ref="K65:K82">IF(SEQUENCE(18, 1), COUNTIF(F65:F82, $H$2))
</f>
        <v>7</v>
      </c>
      <c r="L65" s="24">
        <f t="array" ref="L65:L82">IF(SEQUENCE(18, 1), COUNTIF(G65:G82, $H$2))
</f>
        <v>1</v>
      </c>
      <c r="M65" s="25" t="s">
        <v>35</v>
      </c>
      <c r="N65" s="10">
        <v>4.0</v>
      </c>
      <c r="O65" s="10">
        <v>0.0</v>
      </c>
      <c r="P65" s="26">
        <f t="array" ref="P65:P82">IF(SEQUENCE(18, 1), COUNTIF(F65:F82, $M$2))
</f>
        <v>1</v>
      </c>
      <c r="Q65" s="26">
        <f t="array" ref="Q65:Q82">IF(SEQUENCE(18, 1), COUNTIF(G65:G82, $M$2))
</f>
        <v>7</v>
      </c>
      <c r="R65" s="27"/>
      <c r="S65" s="11">
        <v>0.0</v>
      </c>
      <c r="T65" s="11">
        <v>0.0</v>
      </c>
      <c r="U65" s="28">
        <f t="array" ref="U65:U82">IF(SEQUENCE(18, 1), COUNTIF(F65:F82, $R$2))
</f>
        <v>0</v>
      </c>
      <c r="V65" s="28">
        <f t="array" ref="V65:V82">IF(SEQUENCE(18, 1), COUNTIF(G65:G82, $R$2))
</f>
        <v>0</v>
      </c>
      <c r="W65" s="50" t="s">
        <v>25</v>
      </c>
      <c r="X65" s="30">
        <v>0.0</v>
      </c>
      <c r="Y65" s="30">
        <v>3.0</v>
      </c>
      <c r="Z65" s="31">
        <f t="array" ref="Z65:Z82">IF(SEQUENCE(18, 1), COUNTIF(F65:F82, $W$2))
</f>
        <v>0</v>
      </c>
      <c r="AA65" s="31">
        <f t="array" ref="AA65:AA82">IF(SEQUENCE(18, 1), COUNTIF(G65:G82, $W$2))
</f>
        <v>0</v>
      </c>
      <c r="AB65" s="32" t="s">
        <v>9</v>
      </c>
      <c r="AC65" s="32" t="s">
        <v>30</v>
      </c>
      <c r="AD65" s="13">
        <v>0.0</v>
      </c>
      <c r="AE65" s="13">
        <v>0.0</v>
      </c>
      <c r="AF65" s="13">
        <f t="shared" ref="AF65:AF82" si="23">IF(AB65 = "Borta", AJ65, (IF(AB65 = "Hemma", AI65, 0)))</f>
        <v>4</v>
      </c>
      <c r="AG65" s="33">
        <f t="shared" ref="AG65:AG82" si="24">IF(AB65 = "Hemma", AJ65, (IF(AB65 = "Borta", AI65, 0)))</f>
        <v>4</v>
      </c>
      <c r="AH65" s="33">
        <f t="shared" ref="AH65:AH82" si="25">IF(AB65 = "Borta", AK65, (IF(AB65 = "Hemma", AL65, 0)))</f>
        <v>4</v>
      </c>
      <c r="AI65" s="33">
        <f t="array" ref="AI65:AI82">IF(F65 &lt;&gt; "",
     SEQUENCE(18,1,1,0)*SUM(IF(A65:A82 = F65:F82, 1, 0)),
     SEQUENCE(18,1,0,0)
  )</f>
        <v>4</v>
      </c>
      <c r="AJ65" s="33">
        <f t="array" ref="AJ65:AJ82">IF(G65 &lt;&gt; "",
     SEQUENCE(18,1,1,0)*SUM(IF(E65:E82 = F65:F82, 1, 0)),
     SEQUENCE(18,1,0,0)
  )</f>
        <v>4</v>
      </c>
      <c r="AK65" s="33">
        <f t="array" ref="AK65:AK82">IF(SEQUENCE(18, 1), COUNTIF(B65:B82, 0))</f>
        <v>3</v>
      </c>
      <c r="AL65" s="33">
        <f t="array" ref="AL65:AL82">IF(SEQUENCE(18, 1), COUNTIF(D65:D82, 0))</f>
        <v>4</v>
      </c>
    </row>
    <row r="66">
      <c r="A66" s="20" t="str">
        <f>IFERROR(__xludf.DUMMYFUNCTION("""COMPUTED_VALUE"""),"Rosa")</f>
        <v>Rosa</v>
      </c>
      <c r="B66" s="8">
        <v>1.0</v>
      </c>
      <c r="C66" s="8" t="str">
        <f t="shared" si="20"/>
        <v>-</v>
      </c>
      <c r="D66" s="8">
        <v>2.0</v>
      </c>
      <c r="E66" s="21" t="s">
        <v>2</v>
      </c>
      <c r="F66" s="22" t="str">
        <f t="shared" si="21"/>
        <v>Blå</v>
      </c>
      <c r="G66" s="22" t="str">
        <f t="shared" si="22"/>
        <v>Rosa</v>
      </c>
      <c r="H66" s="23" t="s">
        <v>27</v>
      </c>
      <c r="I66" s="9">
        <v>1.0</v>
      </c>
      <c r="J66" s="9">
        <v>3.0</v>
      </c>
      <c r="K66" s="24">
        <v>7.0</v>
      </c>
      <c r="L66" s="24">
        <v>1.0</v>
      </c>
      <c r="M66" s="25" t="s">
        <v>54</v>
      </c>
      <c r="N66" s="10">
        <v>0.0</v>
      </c>
      <c r="O66" s="10">
        <v>2.0</v>
      </c>
      <c r="P66" s="26">
        <v>1.0</v>
      </c>
      <c r="Q66" s="26">
        <v>7.0</v>
      </c>
      <c r="R66" s="27"/>
      <c r="S66" s="11">
        <v>0.0</v>
      </c>
      <c r="T66" s="11">
        <v>0.0</v>
      </c>
      <c r="U66" s="28">
        <v>0.0</v>
      </c>
      <c r="V66" s="28">
        <v>0.0</v>
      </c>
      <c r="W66" s="29"/>
      <c r="X66" s="30">
        <v>0.0</v>
      </c>
      <c r="Y66" s="30">
        <v>0.0</v>
      </c>
      <c r="Z66" s="31">
        <v>0.0</v>
      </c>
      <c r="AA66" s="31">
        <v>0.0</v>
      </c>
      <c r="AB66" s="32" t="s">
        <v>11</v>
      </c>
      <c r="AC66" s="32"/>
      <c r="AD66" s="13">
        <v>0.0</v>
      </c>
      <c r="AE66" s="13">
        <v>0.0</v>
      </c>
      <c r="AF66" s="13">
        <f t="shared" si="23"/>
        <v>4</v>
      </c>
      <c r="AG66" s="33">
        <f t="shared" si="24"/>
        <v>4</v>
      </c>
      <c r="AH66" s="33">
        <f t="shared" si="25"/>
        <v>3</v>
      </c>
      <c r="AI66" s="33">
        <v>4.0</v>
      </c>
      <c r="AJ66" s="33">
        <v>4.0</v>
      </c>
      <c r="AK66" s="33">
        <v>3.0</v>
      </c>
      <c r="AL66" s="33">
        <v>4.0</v>
      </c>
    </row>
    <row r="67">
      <c r="A67" s="20" t="str">
        <f>IFERROR(__xludf.DUMMYFUNCTION("""COMPUTED_VALUE"""),"Blå")</f>
        <v>Blå</v>
      </c>
      <c r="B67" s="8">
        <v>1.0</v>
      </c>
      <c r="C67" s="8" t="str">
        <f t="shared" si="20"/>
        <v>-</v>
      </c>
      <c r="D67" s="8">
        <v>0.0</v>
      </c>
      <c r="E67" s="21" t="s">
        <v>5</v>
      </c>
      <c r="F67" s="22" t="str">
        <f t="shared" si="21"/>
        <v>Blå</v>
      </c>
      <c r="G67" s="22" t="str">
        <f t="shared" si="22"/>
        <v>Rosa</v>
      </c>
      <c r="H67" s="49" t="s">
        <v>55</v>
      </c>
      <c r="I67" s="9">
        <v>3.0</v>
      </c>
      <c r="J67" s="9">
        <v>2.0</v>
      </c>
      <c r="K67" s="24">
        <v>7.0</v>
      </c>
      <c r="L67" s="24">
        <v>1.0</v>
      </c>
      <c r="M67" s="25" t="s">
        <v>24</v>
      </c>
      <c r="N67" s="10">
        <v>0.0</v>
      </c>
      <c r="O67" s="10">
        <v>2.0</v>
      </c>
      <c r="P67" s="26">
        <v>1.0</v>
      </c>
      <c r="Q67" s="26">
        <v>7.0</v>
      </c>
      <c r="R67" s="27"/>
      <c r="S67" s="11">
        <v>0.0</v>
      </c>
      <c r="T67" s="11">
        <v>0.0</v>
      </c>
      <c r="U67" s="28">
        <v>0.0</v>
      </c>
      <c r="V67" s="28">
        <v>0.0</v>
      </c>
      <c r="W67" s="29"/>
      <c r="X67" s="30">
        <v>0.0</v>
      </c>
      <c r="Y67" s="30">
        <v>0.0</v>
      </c>
      <c r="Z67" s="31">
        <v>0.0</v>
      </c>
      <c r="AA67" s="31">
        <v>0.0</v>
      </c>
      <c r="AB67" s="34"/>
      <c r="AF67" s="13">
        <f t="shared" si="23"/>
        <v>0</v>
      </c>
      <c r="AG67" s="33">
        <f t="shared" si="24"/>
        <v>0</v>
      </c>
      <c r="AH67" s="33">
        <f t="shared" si="25"/>
        <v>0</v>
      </c>
      <c r="AI67" s="33">
        <v>4.0</v>
      </c>
      <c r="AJ67" s="33">
        <v>4.0</v>
      </c>
      <c r="AK67" s="33">
        <v>3.0</v>
      </c>
      <c r="AL67" s="33">
        <v>4.0</v>
      </c>
    </row>
    <row r="68">
      <c r="A68" s="20" t="str">
        <f>IFERROR(__xludf.DUMMYFUNCTION("""COMPUTED_VALUE"""),"Rosa")</f>
        <v>Rosa</v>
      </c>
      <c r="B68" s="8">
        <v>1.0</v>
      </c>
      <c r="C68" s="8" t="str">
        <f t="shared" si="20"/>
        <v>-</v>
      </c>
      <c r="D68" s="8">
        <v>1.0</v>
      </c>
      <c r="E68" s="21" t="s">
        <v>2</v>
      </c>
      <c r="F68" s="22" t="str">
        <f t="shared" si="21"/>
        <v>Oavgjort</v>
      </c>
      <c r="G68" s="22" t="str">
        <f t="shared" si="22"/>
        <v>Oavgjort</v>
      </c>
      <c r="H68" s="49" t="s">
        <v>39</v>
      </c>
      <c r="I68" s="9">
        <v>5.0</v>
      </c>
      <c r="J68" s="9">
        <v>3.0</v>
      </c>
      <c r="K68" s="24">
        <v>7.0</v>
      </c>
      <c r="L68" s="24">
        <v>1.0</v>
      </c>
      <c r="M68" s="25" t="s">
        <v>45</v>
      </c>
      <c r="N68" s="10">
        <v>1.0</v>
      </c>
      <c r="O68" s="10">
        <v>1.0</v>
      </c>
      <c r="P68" s="26">
        <v>1.0</v>
      </c>
      <c r="Q68" s="26">
        <v>7.0</v>
      </c>
      <c r="R68" s="27"/>
      <c r="S68" s="11">
        <v>0.0</v>
      </c>
      <c r="T68" s="11">
        <v>0.0</v>
      </c>
      <c r="U68" s="28">
        <v>0.0</v>
      </c>
      <c r="V68" s="28">
        <v>0.0</v>
      </c>
      <c r="W68" s="29"/>
      <c r="X68" s="30">
        <v>0.0</v>
      </c>
      <c r="Y68" s="30">
        <v>0.0</v>
      </c>
      <c r="Z68" s="31">
        <v>0.0</v>
      </c>
      <c r="AA68" s="31">
        <v>0.0</v>
      </c>
      <c r="AF68" s="13">
        <f t="shared" si="23"/>
        <v>0</v>
      </c>
      <c r="AG68" s="33">
        <f t="shared" si="24"/>
        <v>0</v>
      </c>
      <c r="AH68" s="33">
        <f t="shared" si="25"/>
        <v>0</v>
      </c>
      <c r="AI68" s="33">
        <v>4.0</v>
      </c>
      <c r="AJ68" s="33">
        <v>4.0</v>
      </c>
      <c r="AK68" s="33">
        <v>3.0</v>
      </c>
      <c r="AL68" s="33">
        <v>4.0</v>
      </c>
    </row>
    <row r="69">
      <c r="A69" s="20" t="str">
        <f>IFERROR(__xludf.DUMMYFUNCTION("""COMPUTED_VALUE"""),"Blå")</f>
        <v>Blå</v>
      </c>
      <c r="B69" s="8">
        <v>2.0</v>
      </c>
      <c r="C69" s="8" t="str">
        <f t="shared" si="20"/>
        <v>-</v>
      </c>
      <c r="D69" s="8">
        <v>1.0</v>
      </c>
      <c r="E69" s="21" t="s">
        <v>5</v>
      </c>
      <c r="F69" s="22" t="str">
        <f t="shared" si="21"/>
        <v>Blå</v>
      </c>
      <c r="G69" s="22" t="str">
        <f t="shared" si="22"/>
        <v>Rosa</v>
      </c>
      <c r="H69" s="49" t="s">
        <v>36</v>
      </c>
      <c r="I69" s="9">
        <v>5.0</v>
      </c>
      <c r="J69" s="9">
        <v>3.0</v>
      </c>
      <c r="K69" s="24">
        <v>7.0</v>
      </c>
      <c r="L69" s="24">
        <v>1.0</v>
      </c>
      <c r="M69" s="35"/>
      <c r="N69" s="10">
        <v>0.0</v>
      </c>
      <c r="O69" s="10">
        <v>0.0</v>
      </c>
      <c r="P69" s="26">
        <v>1.0</v>
      </c>
      <c r="Q69" s="26">
        <v>7.0</v>
      </c>
      <c r="R69" s="36"/>
      <c r="S69" s="11">
        <v>0.0</v>
      </c>
      <c r="T69" s="11">
        <v>0.0</v>
      </c>
      <c r="U69" s="28">
        <v>0.0</v>
      </c>
      <c r="V69" s="28">
        <v>0.0</v>
      </c>
      <c r="W69" s="29"/>
      <c r="X69" s="30">
        <v>0.0</v>
      </c>
      <c r="Y69" s="30">
        <v>0.0</v>
      </c>
      <c r="Z69" s="31">
        <v>0.0</v>
      </c>
      <c r="AA69" s="31">
        <v>0.0</v>
      </c>
      <c r="AF69" s="13">
        <f t="shared" si="23"/>
        <v>0</v>
      </c>
      <c r="AG69" s="33">
        <f t="shared" si="24"/>
        <v>0</v>
      </c>
      <c r="AH69" s="33">
        <f t="shared" si="25"/>
        <v>0</v>
      </c>
      <c r="AI69" s="33">
        <v>4.0</v>
      </c>
      <c r="AJ69" s="33">
        <v>4.0</v>
      </c>
      <c r="AK69" s="33">
        <v>3.0</v>
      </c>
      <c r="AL69" s="33">
        <v>4.0</v>
      </c>
    </row>
    <row r="70">
      <c r="A70" s="20" t="str">
        <f>IFERROR(__xludf.DUMMYFUNCTION("""COMPUTED_VALUE"""),"Rosa")</f>
        <v>Rosa</v>
      </c>
      <c r="B70" s="8">
        <v>0.0</v>
      </c>
      <c r="C70" s="8" t="str">
        <f t="shared" si="20"/>
        <v>-</v>
      </c>
      <c r="D70" s="8">
        <v>2.0</v>
      </c>
      <c r="E70" s="21" t="s">
        <v>2</v>
      </c>
      <c r="F70" s="22" t="str">
        <f t="shared" si="21"/>
        <v>Blå</v>
      </c>
      <c r="G70" s="22" t="str">
        <f t="shared" si="22"/>
        <v>Rosa</v>
      </c>
      <c r="H70" s="38" t="s">
        <v>29</v>
      </c>
      <c r="I70" s="9">
        <v>1.0</v>
      </c>
      <c r="J70" s="9">
        <v>1.0</v>
      </c>
      <c r="K70" s="24">
        <v>7.0</v>
      </c>
      <c r="L70" s="24">
        <v>1.0</v>
      </c>
      <c r="M70" s="35"/>
      <c r="N70" s="10">
        <v>0.0</v>
      </c>
      <c r="O70" s="10">
        <v>0.0</v>
      </c>
      <c r="P70" s="26">
        <v>1.0</v>
      </c>
      <c r="Q70" s="26">
        <v>7.0</v>
      </c>
      <c r="R70" s="36"/>
      <c r="S70" s="11">
        <v>0.0</v>
      </c>
      <c r="T70" s="11">
        <v>0.0</v>
      </c>
      <c r="U70" s="28">
        <v>0.0</v>
      </c>
      <c r="V70" s="28">
        <v>0.0</v>
      </c>
      <c r="W70" s="29"/>
      <c r="X70" s="30">
        <v>0.0</v>
      </c>
      <c r="Y70" s="30">
        <v>0.0</v>
      </c>
      <c r="Z70" s="31">
        <v>0.0</v>
      </c>
      <c r="AA70" s="31">
        <v>0.0</v>
      </c>
      <c r="AF70" s="13">
        <f t="shared" si="23"/>
        <v>0</v>
      </c>
      <c r="AG70" s="33">
        <f t="shared" si="24"/>
        <v>0</v>
      </c>
      <c r="AH70" s="33">
        <f t="shared" si="25"/>
        <v>0</v>
      </c>
      <c r="AI70" s="33">
        <v>4.0</v>
      </c>
      <c r="AJ70" s="33">
        <v>4.0</v>
      </c>
      <c r="AK70" s="33">
        <v>3.0</v>
      </c>
      <c r="AL70" s="33">
        <v>4.0</v>
      </c>
    </row>
    <row r="71">
      <c r="A71" s="20" t="str">
        <f>IFERROR(__xludf.DUMMYFUNCTION("""COMPUTED_VALUE"""),"Blå")</f>
        <v>Blå</v>
      </c>
      <c r="B71" s="8">
        <v>1.0</v>
      </c>
      <c r="C71" s="8" t="str">
        <f t="shared" si="20"/>
        <v>-</v>
      </c>
      <c r="D71" s="8">
        <v>0.0</v>
      </c>
      <c r="E71" s="21" t="s">
        <v>5</v>
      </c>
      <c r="F71" s="22" t="str">
        <f t="shared" si="21"/>
        <v>Blå</v>
      </c>
      <c r="G71" s="22" t="str">
        <f t="shared" si="22"/>
        <v>Rosa</v>
      </c>
      <c r="H71" s="23"/>
      <c r="I71" s="9">
        <v>0.0</v>
      </c>
      <c r="J71" s="9">
        <v>0.0</v>
      </c>
      <c r="K71" s="24">
        <v>7.0</v>
      </c>
      <c r="L71" s="24">
        <v>1.0</v>
      </c>
      <c r="M71" s="35"/>
      <c r="N71" s="10">
        <v>0.0</v>
      </c>
      <c r="O71" s="10">
        <v>0.0</v>
      </c>
      <c r="P71" s="26">
        <v>1.0</v>
      </c>
      <c r="Q71" s="26">
        <v>7.0</v>
      </c>
      <c r="R71" s="36"/>
      <c r="S71" s="11">
        <v>0.0</v>
      </c>
      <c r="T71" s="11">
        <v>0.0</v>
      </c>
      <c r="U71" s="28">
        <v>0.0</v>
      </c>
      <c r="V71" s="28">
        <v>0.0</v>
      </c>
      <c r="W71" s="29"/>
      <c r="X71" s="30">
        <v>0.0</v>
      </c>
      <c r="Y71" s="30">
        <v>0.0</v>
      </c>
      <c r="Z71" s="31">
        <v>0.0</v>
      </c>
      <c r="AA71" s="31">
        <v>0.0</v>
      </c>
      <c r="AF71" s="13">
        <f t="shared" si="23"/>
        <v>0</v>
      </c>
      <c r="AG71" s="33">
        <f t="shared" si="24"/>
        <v>0</v>
      </c>
      <c r="AH71" s="33">
        <f t="shared" si="25"/>
        <v>0</v>
      </c>
      <c r="AI71" s="33">
        <v>4.0</v>
      </c>
      <c r="AJ71" s="33">
        <v>4.0</v>
      </c>
      <c r="AK71" s="33">
        <v>3.0</v>
      </c>
      <c r="AL71" s="33">
        <v>4.0</v>
      </c>
    </row>
    <row r="72">
      <c r="A72" s="20" t="str">
        <f>IFERROR(__xludf.DUMMYFUNCTION("""COMPUTED_VALUE"""),"Rosa")</f>
        <v>Rosa</v>
      </c>
      <c r="B72" s="8">
        <v>0.0</v>
      </c>
      <c r="C72" s="8" t="str">
        <f t="shared" si="20"/>
        <v>-</v>
      </c>
      <c r="D72" s="8">
        <v>0.0</v>
      </c>
      <c r="E72" s="21" t="s">
        <v>2</v>
      </c>
      <c r="F72" s="22" t="str">
        <f t="shared" si="21"/>
        <v>Oavgjort</v>
      </c>
      <c r="G72" s="22" t="str">
        <f t="shared" si="22"/>
        <v>Oavgjort</v>
      </c>
      <c r="H72" s="38"/>
      <c r="K72" s="24">
        <v>7.0</v>
      </c>
      <c r="L72" s="24">
        <v>1.0</v>
      </c>
      <c r="M72" s="35"/>
      <c r="P72" s="26">
        <v>1.0</v>
      </c>
      <c r="Q72" s="26">
        <v>7.0</v>
      </c>
      <c r="R72" s="36"/>
      <c r="U72" s="28">
        <v>0.0</v>
      </c>
      <c r="V72" s="28">
        <v>0.0</v>
      </c>
      <c r="W72" s="37"/>
      <c r="Z72" s="31">
        <v>0.0</v>
      </c>
      <c r="AA72" s="31">
        <v>0.0</v>
      </c>
      <c r="AF72" s="13">
        <f t="shared" si="23"/>
        <v>0</v>
      </c>
      <c r="AG72" s="33">
        <f t="shared" si="24"/>
        <v>0</v>
      </c>
      <c r="AH72" s="33">
        <f t="shared" si="25"/>
        <v>0</v>
      </c>
      <c r="AI72" s="33">
        <v>4.0</v>
      </c>
      <c r="AJ72" s="33">
        <v>4.0</v>
      </c>
      <c r="AK72" s="33">
        <v>3.0</v>
      </c>
      <c r="AL72" s="33">
        <v>4.0</v>
      </c>
    </row>
    <row r="73">
      <c r="A73" s="20" t="str">
        <f>IFERROR(__xludf.DUMMYFUNCTION("""COMPUTED_VALUE"""),"Blå")</f>
        <v>Blå</v>
      </c>
      <c r="B73" s="8">
        <v>0.0</v>
      </c>
      <c r="C73" s="8" t="str">
        <f t="shared" si="20"/>
        <v>-</v>
      </c>
      <c r="D73" s="8">
        <v>1.0</v>
      </c>
      <c r="E73" s="21" t="s">
        <v>5</v>
      </c>
      <c r="F73" s="22" t="str">
        <f t="shared" si="21"/>
        <v>Rosa</v>
      </c>
      <c r="G73" s="22" t="str">
        <f t="shared" si="22"/>
        <v>Blå</v>
      </c>
      <c r="K73" s="24">
        <v>7.0</v>
      </c>
      <c r="L73" s="24">
        <v>1.0</v>
      </c>
      <c r="P73" s="26">
        <v>1.0</v>
      </c>
      <c r="Q73" s="26">
        <v>7.0</v>
      </c>
      <c r="U73" s="28">
        <v>0.0</v>
      </c>
      <c r="V73" s="28">
        <v>0.0</v>
      </c>
      <c r="Z73" s="31">
        <v>0.0</v>
      </c>
      <c r="AA73" s="31">
        <v>0.0</v>
      </c>
      <c r="AF73" s="13">
        <f t="shared" si="23"/>
        <v>0</v>
      </c>
      <c r="AG73" s="33">
        <f t="shared" si="24"/>
        <v>0</v>
      </c>
      <c r="AH73" s="33">
        <f t="shared" si="25"/>
        <v>0</v>
      </c>
      <c r="AI73" s="33">
        <v>4.0</v>
      </c>
      <c r="AJ73" s="33">
        <v>4.0</v>
      </c>
      <c r="AK73" s="33">
        <v>3.0</v>
      </c>
      <c r="AL73" s="33">
        <v>4.0</v>
      </c>
    </row>
    <row r="74">
      <c r="A74" s="20" t="str">
        <f>IFERROR(__xludf.DUMMYFUNCTION("""COMPUTED_VALUE"""),"Rosa")</f>
        <v>Rosa</v>
      </c>
      <c r="B74" s="8">
        <v>1.0</v>
      </c>
      <c r="C74" s="8" t="str">
        <f t="shared" si="20"/>
        <v>-</v>
      </c>
      <c r="D74" s="8">
        <v>3.0</v>
      </c>
      <c r="E74" s="21" t="s">
        <v>2</v>
      </c>
      <c r="F74" s="22" t="str">
        <f t="shared" si="21"/>
        <v>Blå</v>
      </c>
      <c r="G74" s="22" t="str">
        <f t="shared" si="22"/>
        <v>Rosa</v>
      </c>
      <c r="K74" s="24">
        <v>7.0</v>
      </c>
      <c r="L74" s="24">
        <v>1.0</v>
      </c>
      <c r="P74" s="26">
        <v>1.0</v>
      </c>
      <c r="Q74" s="26">
        <v>7.0</v>
      </c>
      <c r="U74" s="28">
        <v>0.0</v>
      </c>
      <c r="V74" s="28">
        <v>0.0</v>
      </c>
      <c r="Z74" s="31">
        <v>0.0</v>
      </c>
      <c r="AA74" s="31">
        <v>0.0</v>
      </c>
      <c r="AF74" s="13">
        <f t="shared" si="23"/>
        <v>0</v>
      </c>
      <c r="AG74" s="33">
        <f t="shared" si="24"/>
        <v>0</v>
      </c>
      <c r="AH74" s="33">
        <f t="shared" si="25"/>
        <v>0</v>
      </c>
      <c r="AI74" s="33">
        <v>4.0</v>
      </c>
      <c r="AJ74" s="33">
        <v>4.0</v>
      </c>
      <c r="AK74" s="33">
        <v>3.0</v>
      </c>
      <c r="AL74" s="33">
        <v>4.0</v>
      </c>
    </row>
    <row r="75">
      <c r="A75" s="20" t="str">
        <f>IFERROR(__xludf.DUMMYFUNCTION("""COMPUTED_VALUE"""),"Blå")</f>
        <v>Blå</v>
      </c>
      <c r="B75" s="8"/>
      <c r="C75" s="8" t="str">
        <f t="shared" si="20"/>
        <v>-</v>
      </c>
      <c r="D75" s="8"/>
      <c r="E75" s="21" t="s">
        <v>5</v>
      </c>
      <c r="F75" s="22" t="str">
        <f t="shared" si="21"/>
        <v/>
      </c>
      <c r="G75" s="22" t="str">
        <f t="shared" si="22"/>
        <v/>
      </c>
      <c r="K75" s="24">
        <v>7.0</v>
      </c>
      <c r="L75" s="24">
        <v>1.0</v>
      </c>
      <c r="P75" s="26">
        <v>1.0</v>
      </c>
      <c r="Q75" s="26">
        <v>7.0</v>
      </c>
      <c r="U75" s="28">
        <v>0.0</v>
      </c>
      <c r="V75" s="28">
        <v>0.0</v>
      </c>
      <c r="Z75" s="31">
        <v>0.0</v>
      </c>
      <c r="AA75" s="31">
        <v>0.0</v>
      </c>
      <c r="AF75" s="13">
        <f t="shared" si="23"/>
        <v>0</v>
      </c>
      <c r="AG75" s="33">
        <f t="shared" si="24"/>
        <v>0</v>
      </c>
      <c r="AH75" s="33">
        <f t="shared" si="25"/>
        <v>0</v>
      </c>
      <c r="AI75" s="33">
        <v>4.0</v>
      </c>
      <c r="AJ75" s="33">
        <v>4.0</v>
      </c>
      <c r="AK75" s="33">
        <v>3.0</v>
      </c>
      <c r="AL75" s="33">
        <v>4.0</v>
      </c>
    </row>
    <row r="76">
      <c r="A76" s="20" t="str">
        <f>IFERROR(__xludf.DUMMYFUNCTION("""COMPUTED_VALUE"""),"Rosa")</f>
        <v>Rosa</v>
      </c>
      <c r="B76" s="8"/>
      <c r="C76" s="8" t="str">
        <f t="shared" si="20"/>
        <v>-</v>
      </c>
      <c r="D76" s="8"/>
      <c r="E76" s="21" t="s">
        <v>2</v>
      </c>
      <c r="F76" s="22" t="str">
        <f t="shared" si="21"/>
        <v/>
      </c>
      <c r="G76" s="22" t="str">
        <f t="shared" si="22"/>
        <v/>
      </c>
      <c r="K76" s="24">
        <v>7.0</v>
      </c>
      <c r="L76" s="24">
        <v>1.0</v>
      </c>
      <c r="P76" s="26">
        <v>1.0</v>
      </c>
      <c r="Q76" s="26">
        <v>7.0</v>
      </c>
      <c r="U76" s="28">
        <v>0.0</v>
      </c>
      <c r="V76" s="28">
        <v>0.0</v>
      </c>
      <c r="Z76" s="31">
        <v>0.0</v>
      </c>
      <c r="AA76" s="31">
        <v>0.0</v>
      </c>
      <c r="AF76" s="13">
        <f t="shared" si="23"/>
        <v>0</v>
      </c>
      <c r="AG76" s="33">
        <f t="shared" si="24"/>
        <v>0</v>
      </c>
      <c r="AH76" s="33">
        <f t="shared" si="25"/>
        <v>0</v>
      </c>
      <c r="AI76" s="33">
        <v>4.0</v>
      </c>
      <c r="AJ76" s="33">
        <v>4.0</v>
      </c>
      <c r="AK76" s="33">
        <v>3.0</v>
      </c>
      <c r="AL76" s="33">
        <v>4.0</v>
      </c>
    </row>
    <row r="77">
      <c r="A77" s="20" t="str">
        <f>IFERROR(__xludf.DUMMYFUNCTION("""COMPUTED_VALUE"""),"Blå")</f>
        <v>Blå</v>
      </c>
      <c r="B77" s="8"/>
      <c r="C77" s="8" t="str">
        <f t="shared" si="20"/>
        <v>-</v>
      </c>
      <c r="D77" s="8"/>
      <c r="E77" s="21" t="s">
        <v>5</v>
      </c>
      <c r="F77" s="22" t="str">
        <f t="shared" si="21"/>
        <v/>
      </c>
      <c r="G77" s="22" t="str">
        <f t="shared" si="22"/>
        <v/>
      </c>
      <c r="K77" s="24">
        <v>7.0</v>
      </c>
      <c r="L77" s="24">
        <v>1.0</v>
      </c>
      <c r="P77" s="26">
        <v>1.0</v>
      </c>
      <c r="Q77" s="26">
        <v>7.0</v>
      </c>
      <c r="U77" s="28">
        <v>0.0</v>
      </c>
      <c r="V77" s="28">
        <v>0.0</v>
      </c>
      <c r="Z77" s="31">
        <v>0.0</v>
      </c>
      <c r="AA77" s="31">
        <v>0.0</v>
      </c>
      <c r="AF77" s="13">
        <f t="shared" si="23"/>
        <v>0</v>
      </c>
      <c r="AG77" s="33">
        <f t="shared" si="24"/>
        <v>0</v>
      </c>
      <c r="AH77" s="33">
        <f t="shared" si="25"/>
        <v>0</v>
      </c>
      <c r="AI77" s="33">
        <v>4.0</v>
      </c>
      <c r="AJ77" s="33">
        <v>4.0</v>
      </c>
      <c r="AK77" s="33">
        <v>3.0</v>
      </c>
      <c r="AL77" s="33">
        <v>4.0</v>
      </c>
    </row>
    <row r="78">
      <c r="A78" s="20" t="str">
        <f>IFERROR(__xludf.DUMMYFUNCTION("""COMPUTED_VALUE"""),"Rosa")</f>
        <v>Rosa</v>
      </c>
      <c r="B78" s="8"/>
      <c r="C78" s="8" t="str">
        <f t="shared" si="20"/>
        <v>-</v>
      </c>
      <c r="D78" s="8"/>
      <c r="E78" s="21" t="s">
        <v>2</v>
      </c>
      <c r="F78" s="22" t="str">
        <f t="shared" si="21"/>
        <v/>
      </c>
      <c r="G78" s="22" t="str">
        <f t="shared" si="22"/>
        <v/>
      </c>
      <c r="K78" s="24">
        <v>7.0</v>
      </c>
      <c r="L78" s="24">
        <v>1.0</v>
      </c>
      <c r="P78" s="26">
        <v>1.0</v>
      </c>
      <c r="Q78" s="26">
        <v>7.0</v>
      </c>
      <c r="U78" s="28">
        <v>0.0</v>
      </c>
      <c r="V78" s="28">
        <v>0.0</v>
      </c>
      <c r="Z78" s="31">
        <v>0.0</v>
      </c>
      <c r="AA78" s="31">
        <v>0.0</v>
      </c>
      <c r="AF78" s="13">
        <f t="shared" si="23"/>
        <v>0</v>
      </c>
      <c r="AG78" s="33">
        <f t="shared" si="24"/>
        <v>0</v>
      </c>
      <c r="AH78" s="33">
        <f t="shared" si="25"/>
        <v>0</v>
      </c>
      <c r="AI78" s="33">
        <v>4.0</v>
      </c>
      <c r="AJ78" s="33">
        <v>4.0</v>
      </c>
      <c r="AK78" s="33">
        <v>3.0</v>
      </c>
      <c r="AL78" s="33">
        <v>4.0</v>
      </c>
    </row>
    <row r="79">
      <c r="A79" s="20" t="str">
        <f>IFERROR(__xludf.DUMMYFUNCTION("""COMPUTED_VALUE"""),"Blå")</f>
        <v>Blå</v>
      </c>
      <c r="B79" s="8"/>
      <c r="C79" s="8" t="str">
        <f t="shared" si="20"/>
        <v>-</v>
      </c>
      <c r="D79" s="8"/>
      <c r="E79" s="21" t="s">
        <v>5</v>
      </c>
      <c r="F79" s="22" t="str">
        <f t="shared" si="21"/>
        <v/>
      </c>
      <c r="G79" s="22" t="str">
        <f t="shared" si="22"/>
        <v/>
      </c>
      <c r="K79" s="24">
        <v>7.0</v>
      </c>
      <c r="L79" s="24">
        <v>1.0</v>
      </c>
      <c r="P79" s="26">
        <v>1.0</v>
      </c>
      <c r="Q79" s="26">
        <v>7.0</v>
      </c>
      <c r="U79" s="28">
        <v>0.0</v>
      </c>
      <c r="V79" s="28">
        <v>0.0</v>
      </c>
      <c r="Z79" s="31">
        <v>0.0</v>
      </c>
      <c r="AA79" s="31">
        <v>0.0</v>
      </c>
      <c r="AF79" s="13">
        <f t="shared" si="23"/>
        <v>0</v>
      </c>
      <c r="AG79" s="33">
        <f t="shared" si="24"/>
        <v>0</v>
      </c>
      <c r="AH79" s="33">
        <f t="shared" si="25"/>
        <v>0</v>
      </c>
      <c r="AI79" s="33">
        <v>4.0</v>
      </c>
      <c r="AJ79" s="33">
        <v>4.0</v>
      </c>
      <c r="AK79" s="33">
        <v>3.0</v>
      </c>
      <c r="AL79" s="33">
        <v>4.0</v>
      </c>
    </row>
    <row r="80">
      <c r="A80" s="20" t="str">
        <f>IFERROR(__xludf.DUMMYFUNCTION("""COMPUTED_VALUE"""),"Rosa")</f>
        <v>Rosa</v>
      </c>
      <c r="B80" s="8"/>
      <c r="C80" s="8" t="str">
        <f t="shared" si="20"/>
        <v>-</v>
      </c>
      <c r="D80" s="22"/>
      <c r="E80" s="21" t="s">
        <v>2</v>
      </c>
      <c r="F80" s="22" t="str">
        <f t="shared" si="21"/>
        <v/>
      </c>
      <c r="G80" s="22" t="str">
        <f t="shared" si="22"/>
        <v/>
      </c>
      <c r="K80" s="24">
        <v>7.0</v>
      </c>
      <c r="L80" s="24">
        <v>1.0</v>
      </c>
      <c r="P80" s="26">
        <v>1.0</v>
      </c>
      <c r="Q80" s="26">
        <v>7.0</v>
      </c>
      <c r="U80" s="28">
        <v>0.0</v>
      </c>
      <c r="V80" s="28">
        <v>0.0</v>
      </c>
      <c r="Z80" s="31">
        <v>0.0</v>
      </c>
      <c r="AA80" s="31">
        <v>0.0</v>
      </c>
      <c r="AF80" s="13">
        <f t="shared" si="23"/>
        <v>0</v>
      </c>
      <c r="AG80" s="33">
        <f t="shared" si="24"/>
        <v>0</v>
      </c>
      <c r="AH80" s="33">
        <f t="shared" si="25"/>
        <v>0</v>
      </c>
      <c r="AI80" s="33">
        <v>4.0</v>
      </c>
      <c r="AJ80" s="33">
        <v>4.0</v>
      </c>
      <c r="AK80" s="33">
        <v>3.0</v>
      </c>
      <c r="AL80" s="33">
        <v>4.0</v>
      </c>
    </row>
    <row r="81">
      <c r="A81" s="39" t="str">
        <f>IFERROR(__xludf.DUMMYFUNCTION("""COMPUTED_VALUE"""),"Blå")</f>
        <v>Blå</v>
      </c>
      <c r="B81" s="8"/>
      <c r="C81" s="8" t="str">
        <f t="shared" si="20"/>
        <v>-</v>
      </c>
      <c r="D81" s="8"/>
      <c r="E81" s="46" t="s">
        <v>5</v>
      </c>
      <c r="F81" s="22" t="str">
        <f t="shared" si="21"/>
        <v/>
      </c>
      <c r="G81" s="22" t="str">
        <f t="shared" si="22"/>
        <v/>
      </c>
      <c r="K81" s="24">
        <v>7.0</v>
      </c>
      <c r="L81" s="24">
        <v>1.0</v>
      </c>
      <c r="P81" s="26">
        <v>1.0</v>
      </c>
      <c r="Q81" s="26">
        <v>7.0</v>
      </c>
      <c r="U81" s="28">
        <v>0.0</v>
      </c>
      <c r="V81" s="28">
        <v>0.0</v>
      </c>
      <c r="Z81" s="31">
        <v>0.0</v>
      </c>
      <c r="AA81" s="31">
        <v>0.0</v>
      </c>
      <c r="AF81" s="13">
        <f t="shared" si="23"/>
        <v>0</v>
      </c>
      <c r="AG81" s="33">
        <f t="shared" si="24"/>
        <v>0</v>
      </c>
      <c r="AH81" s="33">
        <f t="shared" si="25"/>
        <v>0</v>
      </c>
      <c r="AI81" s="33">
        <v>4.0</v>
      </c>
      <c r="AJ81" s="33">
        <v>4.0</v>
      </c>
      <c r="AK81" s="33">
        <v>3.0</v>
      </c>
      <c r="AL81" s="33">
        <v>4.0</v>
      </c>
    </row>
    <row r="82">
      <c r="A82" s="39" t="str">
        <f>IFERROR(__xludf.DUMMYFUNCTION("""COMPUTED_VALUE"""),"Rosa")</f>
        <v>Rosa</v>
      </c>
      <c r="B82" s="22"/>
      <c r="C82" s="8" t="str">
        <f t="shared" si="20"/>
        <v>-</v>
      </c>
      <c r="D82" s="22"/>
      <c r="E82" s="46" t="s">
        <v>2</v>
      </c>
      <c r="F82" s="22"/>
      <c r="G82" s="22"/>
      <c r="K82" s="24">
        <v>7.0</v>
      </c>
      <c r="L82" s="24">
        <v>1.0</v>
      </c>
      <c r="P82" s="26">
        <v>1.0</v>
      </c>
      <c r="Q82" s="26">
        <v>7.0</v>
      </c>
      <c r="U82" s="28">
        <v>0.0</v>
      </c>
      <c r="V82" s="28">
        <v>0.0</v>
      </c>
      <c r="Z82" s="31">
        <v>0.0</v>
      </c>
      <c r="AA82" s="31">
        <v>0.0</v>
      </c>
      <c r="AF82" s="13">
        <f t="shared" si="23"/>
        <v>0</v>
      </c>
      <c r="AG82" s="33">
        <f t="shared" si="24"/>
        <v>0</v>
      </c>
      <c r="AH82" s="33">
        <f t="shared" si="25"/>
        <v>0</v>
      </c>
      <c r="AI82" s="33">
        <v>4.0</v>
      </c>
      <c r="AJ82" s="33">
        <v>4.0</v>
      </c>
      <c r="AK82" s="33">
        <v>3.0</v>
      </c>
      <c r="AL82" s="33">
        <v>4.0</v>
      </c>
    </row>
    <row r="83">
      <c r="A83" s="39"/>
      <c r="AH83" s="39"/>
      <c r="AI83" s="39"/>
      <c r="AJ83" s="39"/>
      <c r="AK83" s="39"/>
      <c r="AL83" s="39"/>
    </row>
    <row r="84">
      <c r="A84" s="40" t="str">
        <f>IFERROR(__xludf.DUMMYFUNCTION("""Gameweek "" &amp; (VALUE(REGEXEXTRACT(A64, ""Gameweek (\d+)"")) + 1)"),"Gameweek 5")</f>
        <v>Gameweek 5</v>
      </c>
      <c r="F84" s="40"/>
      <c r="G84" s="40"/>
      <c r="H84" s="41" t="str">
        <f>A84</f>
        <v>Gameweek 5</v>
      </c>
      <c r="K84" s="15" t="s">
        <v>21</v>
      </c>
      <c r="L84" s="15" t="s">
        <v>22</v>
      </c>
      <c r="M84" s="42" t="str">
        <f>A84</f>
        <v>Gameweek 5</v>
      </c>
      <c r="P84" s="16" t="s">
        <v>21</v>
      </c>
      <c r="Q84" s="16" t="s">
        <v>22</v>
      </c>
      <c r="R84" s="43" t="str">
        <f>A84</f>
        <v>Gameweek 5</v>
      </c>
      <c r="U84" s="17" t="s">
        <v>21</v>
      </c>
      <c r="V84" s="17" t="s">
        <v>22</v>
      </c>
      <c r="W84" s="44" t="str">
        <f>A84</f>
        <v>Gameweek 5</v>
      </c>
      <c r="Z84" s="18" t="s">
        <v>21</v>
      </c>
      <c r="AA84" s="18" t="s">
        <v>22</v>
      </c>
      <c r="AB84" s="45" t="str">
        <f>A84</f>
        <v>Gameweek 5</v>
      </c>
      <c r="AF84" s="19" t="s">
        <v>21</v>
      </c>
      <c r="AG84" s="19" t="s">
        <v>22</v>
      </c>
      <c r="AH84" s="19" t="s">
        <v>17</v>
      </c>
      <c r="AI84" s="19" t="s">
        <v>23</v>
      </c>
    </row>
    <row r="85">
      <c r="A85" s="20" t="s">
        <v>2</v>
      </c>
      <c r="B85" s="8">
        <v>0.0</v>
      </c>
      <c r="C85" s="8" t="str">
        <f t="shared" ref="C85:C102" si="26">IF(ISBLANK(A85), "", "-")
</f>
        <v>-</v>
      </c>
      <c r="D85" s="8">
        <v>0.0</v>
      </c>
      <c r="E85" s="21" t="s">
        <v>5</v>
      </c>
      <c r="F85" s="22" t="str">
        <f t="shared" ref="F85:F101" si="27">IF(AND(B85 &lt;&gt; "", D85 &lt;&gt; ""), IF(B85 &gt; D85, A85, IF(D85 &gt; B85, E85, "Oavgjort")), "")</f>
        <v>Oavgjort</v>
      </c>
      <c r="G85" s="22" t="str">
        <f t="shared" ref="G85:G101" si="28">IF(AND(B85 &lt;&gt; "", D85 &lt;&gt; ""), IF(B85 &lt; D85, A85, IF(D85 &lt; B85, E85, "Oavgjort")), "")
</f>
        <v>Oavgjort</v>
      </c>
      <c r="H85" s="38" t="s">
        <v>33</v>
      </c>
      <c r="I85" s="9">
        <v>1.0</v>
      </c>
      <c r="J85" s="9">
        <v>0.0</v>
      </c>
      <c r="K85" s="24">
        <f t="array" ref="K85:K102">IF(SEQUENCE(18, 1), COUNTIF(F85:F102, $H$2))
</f>
        <v>1</v>
      </c>
      <c r="L85" s="24">
        <f t="array" ref="L85:L102">IF(SEQUENCE(18, 1), COUNTIF(G85:G102, $H$2))
</f>
        <v>1</v>
      </c>
      <c r="M85" s="35" t="s">
        <v>28</v>
      </c>
      <c r="N85" s="10">
        <v>0.0</v>
      </c>
      <c r="O85" s="10">
        <v>1.0</v>
      </c>
      <c r="P85" s="26">
        <f t="array" ref="P85:P102">IF(SEQUENCE(18, 1), COUNTIF(F85:F102, $M$2))
</f>
        <v>1</v>
      </c>
      <c r="Q85" s="26">
        <f t="array" ref="Q85:Q102">IF(SEQUENCE(18, 1), COUNTIF(G85:G102, $M$2))
</f>
        <v>1</v>
      </c>
      <c r="R85" s="27"/>
      <c r="S85" s="11">
        <v>0.0</v>
      </c>
      <c r="T85" s="11">
        <v>0.0</v>
      </c>
      <c r="U85" s="28">
        <f t="array" ref="U85:U102">IF(SEQUENCE(18, 1), COUNTIF(F85:F102, $R$2))
</f>
        <v>0</v>
      </c>
      <c r="V85" s="28">
        <f t="array" ref="V85:V102">IF(SEQUENCE(18, 1), COUNTIF(G85:G102, $R$2))
</f>
        <v>0</v>
      </c>
      <c r="W85" s="50" t="s">
        <v>25</v>
      </c>
      <c r="X85" s="30">
        <v>0.0</v>
      </c>
      <c r="Y85" s="30">
        <v>3.0</v>
      </c>
      <c r="Z85" s="31">
        <f t="array" ref="Z85:Z102">IF(SEQUENCE(18, 1), COUNTIF(F85:F102, $W$2))
</f>
        <v>0</v>
      </c>
      <c r="AA85" s="31">
        <f t="array" ref="AA85:AA102">IF(SEQUENCE(18, 1), COUNTIF(G85:G102, $W$2))
</f>
        <v>0</v>
      </c>
      <c r="AB85" s="32" t="s">
        <v>9</v>
      </c>
      <c r="AC85" s="32" t="s">
        <v>30</v>
      </c>
      <c r="AD85" s="13">
        <v>0.0</v>
      </c>
      <c r="AE85" s="13">
        <v>1.0</v>
      </c>
      <c r="AF85" s="13">
        <f t="shared" ref="AF85:AF102" si="29">IF(AB85 = "Borta", AJ85, (IF(AB85 = "Hemma", AI85, 0)))</f>
        <v>3</v>
      </c>
      <c r="AG85" s="33">
        <f t="shared" ref="AG85:AG102" si="30">IF(AB85 = "Hemma", AJ85, (IF(AB85 = "Borta", AI85, 0)))</f>
        <v>3</v>
      </c>
      <c r="AH85" s="33">
        <f t="shared" ref="AH85:AH102" si="31">IF(AB85 = "Borta", AK85, (IF(AB85 = "Hemma", AL85, 0)))</f>
        <v>6</v>
      </c>
      <c r="AI85" s="33">
        <f t="array" ref="AI85:AI102">IF(F85 &lt;&gt; "",
     SEQUENCE(18,1,1,0)*SUM(IF(A85:A102 = F85:F102, 1, 0)),
     SEQUENCE(18,1,0,0)
  )</f>
        <v>3</v>
      </c>
      <c r="AJ85" s="33">
        <f t="array" ref="AJ85:AJ102">IF(G85 &lt;&gt; "",
     SEQUENCE(18,1,1,0)*SUM(IF(E85:E102 = F85:F102, 1, 0)),
     SEQUENCE(18,1,0,0)
  )</f>
        <v>3</v>
      </c>
      <c r="AK85" s="33">
        <f t="array" ref="AK85:AK102">IF(SEQUENCE(18, 1), COUNTIF(B85:B102, 0))</f>
        <v>6</v>
      </c>
      <c r="AL85" s="33">
        <f t="array" ref="AL85:AL102">IF(SEQUENCE(18, 1), COUNTIF(D85:D102, 0))</f>
        <v>6</v>
      </c>
    </row>
    <row r="86">
      <c r="A86" s="20" t="s">
        <v>2</v>
      </c>
      <c r="B86" s="8">
        <v>0.0</v>
      </c>
      <c r="C86" s="8" t="str">
        <f t="shared" si="26"/>
        <v>-</v>
      </c>
      <c r="D86" s="8">
        <v>0.0</v>
      </c>
      <c r="E86" s="21" t="s">
        <v>5</v>
      </c>
      <c r="F86" s="22" t="str">
        <f t="shared" si="27"/>
        <v>Oavgjort</v>
      </c>
      <c r="G86" s="22" t="str">
        <f t="shared" si="28"/>
        <v>Oavgjort</v>
      </c>
      <c r="H86" s="38" t="s">
        <v>36</v>
      </c>
      <c r="I86" s="9">
        <v>4.0</v>
      </c>
      <c r="J86" s="9">
        <v>1.0</v>
      </c>
      <c r="K86" s="24">
        <v>1.0</v>
      </c>
      <c r="L86" s="24">
        <v>1.0</v>
      </c>
      <c r="M86" s="35" t="s">
        <v>53</v>
      </c>
      <c r="N86" s="10">
        <v>0.0</v>
      </c>
      <c r="O86" s="10">
        <v>0.0</v>
      </c>
      <c r="P86" s="26">
        <v>1.0</v>
      </c>
      <c r="Q86" s="26">
        <v>1.0</v>
      </c>
      <c r="R86" s="27"/>
      <c r="S86" s="11">
        <v>0.0</v>
      </c>
      <c r="T86" s="11">
        <v>0.0</v>
      </c>
      <c r="U86" s="28">
        <v>0.0</v>
      </c>
      <c r="V86" s="28">
        <v>0.0</v>
      </c>
      <c r="W86" s="50" t="s">
        <v>40</v>
      </c>
      <c r="X86" s="30">
        <v>0.0</v>
      </c>
      <c r="Y86" s="30">
        <v>3.0</v>
      </c>
      <c r="Z86" s="31">
        <v>0.0</v>
      </c>
      <c r="AA86" s="31">
        <v>0.0</v>
      </c>
      <c r="AB86" s="32" t="s">
        <v>11</v>
      </c>
      <c r="AC86" s="32" t="s">
        <v>55</v>
      </c>
      <c r="AD86" s="13">
        <v>1.0</v>
      </c>
      <c r="AE86" s="13">
        <v>0.0</v>
      </c>
      <c r="AF86" s="13">
        <f t="shared" si="29"/>
        <v>3</v>
      </c>
      <c r="AG86" s="33">
        <f t="shared" si="30"/>
        <v>3</v>
      </c>
      <c r="AH86" s="33">
        <f t="shared" si="31"/>
        <v>6</v>
      </c>
      <c r="AI86" s="33">
        <v>3.0</v>
      </c>
      <c r="AJ86" s="33">
        <v>3.0</v>
      </c>
      <c r="AK86" s="33">
        <v>6.0</v>
      </c>
      <c r="AL86" s="33">
        <v>6.0</v>
      </c>
    </row>
    <row r="87">
      <c r="A87" s="20" t="s">
        <v>2</v>
      </c>
      <c r="B87" s="8">
        <v>0.0</v>
      </c>
      <c r="C87" s="8" t="str">
        <f t="shared" si="26"/>
        <v>-</v>
      </c>
      <c r="D87" s="8">
        <v>0.0</v>
      </c>
      <c r="E87" s="21" t="s">
        <v>5</v>
      </c>
      <c r="F87" s="22" t="str">
        <f t="shared" si="27"/>
        <v>Oavgjort</v>
      </c>
      <c r="G87" s="22" t="str">
        <f t="shared" si="28"/>
        <v>Oavgjort</v>
      </c>
      <c r="H87" s="38" t="s">
        <v>56</v>
      </c>
      <c r="I87" s="9">
        <v>1.0</v>
      </c>
      <c r="J87" s="9">
        <v>0.0</v>
      </c>
      <c r="K87" s="24">
        <v>1.0</v>
      </c>
      <c r="L87" s="24">
        <v>1.0</v>
      </c>
      <c r="M87" s="35" t="s">
        <v>57</v>
      </c>
      <c r="N87" s="10">
        <v>1.0</v>
      </c>
      <c r="O87" s="10">
        <v>1.0</v>
      </c>
      <c r="P87" s="26">
        <v>1.0</v>
      </c>
      <c r="Q87" s="26">
        <v>1.0</v>
      </c>
      <c r="R87" s="27"/>
      <c r="S87" s="11">
        <v>0.0</v>
      </c>
      <c r="T87" s="11">
        <v>0.0</v>
      </c>
      <c r="U87" s="28">
        <v>0.0</v>
      </c>
      <c r="V87" s="28">
        <v>0.0</v>
      </c>
      <c r="W87" s="29"/>
      <c r="X87" s="30">
        <v>0.0</v>
      </c>
      <c r="Y87" s="30">
        <v>0.0</v>
      </c>
      <c r="Z87" s="31">
        <v>0.0</v>
      </c>
      <c r="AA87" s="31">
        <v>0.0</v>
      </c>
      <c r="AB87" s="34"/>
      <c r="AF87" s="13">
        <f t="shared" si="29"/>
        <v>0</v>
      </c>
      <c r="AG87" s="33">
        <f t="shared" si="30"/>
        <v>0</v>
      </c>
      <c r="AH87" s="33">
        <f t="shared" si="31"/>
        <v>0</v>
      </c>
      <c r="AI87" s="33">
        <v>3.0</v>
      </c>
      <c r="AJ87" s="33">
        <v>3.0</v>
      </c>
      <c r="AK87" s="33">
        <v>6.0</v>
      </c>
      <c r="AL87" s="33">
        <v>6.0</v>
      </c>
    </row>
    <row r="88">
      <c r="A88" s="20" t="s">
        <v>2</v>
      </c>
      <c r="B88" s="8">
        <v>0.0</v>
      </c>
      <c r="C88" s="8" t="str">
        <f t="shared" si="26"/>
        <v>-</v>
      </c>
      <c r="D88" s="8">
        <v>1.0</v>
      </c>
      <c r="E88" s="21" t="s">
        <v>5</v>
      </c>
      <c r="F88" s="22" t="str">
        <f t="shared" si="27"/>
        <v>Rosa</v>
      </c>
      <c r="G88" s="22" t="str">
        <f t="shared" si="28"/>
        <v>Blå</v>
      </c>
      <c r="H88" s="38" t="s">
        <v>35</v>
      </c>
      <c r="I88" s="9">
        <v>0.0</v>
      </c>
      <c r="J88" s="9">
        <v>1.0</v>
      </c>
      <c r="K88" s="24">
        <v>1.0</v>
      </c>
      <c r="L88" s="24">
        <v>1.0</v>
      </c>
      <c r="M88" s="35" t="s">
        <v>32</v>
      </c>
      <c r="N88" s="10">
        <v>3.0</v>
      </c>
      <c r="O88" s="10">
        <v>0.0</v>
      </c>
      <c r="P88" s="26">
        <v>1.0</v>
      </c>
      <c r="Q88" s="26">
        <v>1.0</v>
      </c>
      <c r="R88" s="27"/>
      <c r="S88" s="11">
        <v>0.0</v>
      </c>
      <c r="T88" s="11">
        <v>0.0</v>
      </c>
      <c r="U88" s="28">
        <v>0.0</v>
      </c>
      <c r="V88" s="28">
        <v>0.0</v>
      </c>
      <c r="W88" s="29"/>
      <c r="X88" s="30">
        <v>0.0</v>
      </c>
      <c r="Y88" s="30">
        <v>0.0</v>
      </c>
      <c r="Z88" s="31">
        <v>0.0</v>
      </c>
      <c r="AA88" s="31">
        <v>0.0</v>
      </c>
      <c r="AF88" s="13">
        <f t="shared" si="29"/>
        <v>0</v>
      </c>
      <c r="AG88" s="33">
        <f t="shared" si="30"/>
        <v>0</v>
      </c>
      <c r="AH88" s="33">
        <f t="shared" si="31"/>
        <v>0</v>
      </c>
      <c r="AI88" s="33">
        <v>3.0</v>
      </c>
      <c r="AJ88" s="33">
        <v>3.0</v>
      </c>
      <c r="AK88" s="33">
        <v>6.0</v>
      </c>
      <c r="AL88" s="33">
        <v>6.0</v>
      </c>
    </row>
    <row r="89">
      <c r="A89" s="20" t="s">
        <v>2</v>
      </c>
      <c r="B89" s="8">
        <v>1.0</v>
      </c>
      <c r="C89" s="8" t="str">
        <f t="shared" si="26"/>
        <v>-</v>
      </c>
      <c r="D89" s="8">
        <v>0.0</v>
      </c>
      <c r="E89" s="21" t="s">
        <v>5</v>
      </c>
      <c r="F89" s="22" t="str">
        <f t="shared" si="27"/>
        <v>Blå</v>
      </c>
      <c r="G89" s="22" t="str">
        <f t="shared" si="28"/>
        <v>Rosa</v>
      </c>
      <c r="H89" s="38" t="s">
        <v>29</v>
      </c>
      <c r="I89" s="9">
        <v>0.0</v>
      </c>
      <c r="J89" s="9">
        <v>2.0</v>
      </c>
      <c r="K89" s="24">
        <v>1.0</v>
      </c>
      <c r="L89" s="24">
        <v>1.0</v>
      </c>
      <c r="M89" s="35" t="s">
        <v>34</v>
      </c>
      <c r="N89" s="10">
        <v>1.0</v>
      </c>
      <c r="O89" s="10">
        <v>3.0</v>
      </c>
      <c r="P89" s="26">
        <v>1.0</v>
      </c>
      <c r="Q89" s="26">
        <v>1.0</v>
      </c>
      <c r="R89" s="36"/>
      <c r="S89" s="11">
        <v>0.0</v>
      </c>
      <c r="T89" s="11">
        <v>0.0</v>
      </c>
      <c r="U89" s="28">
        <v>0.0</v>
      </c>
      <c r="V89" s="28">
        <v>0.0</v>
      </c>
      <c r="W89" s="29"/>
      <c r="X89" s="30">
        <v>0.0</v>
      </c>
      <c r="Y89" s="30">
        <v>0.0</v>
      </c>
      <c r="Z89" s="31">
        <v>0.0</v>
      </c>
      <c r="AA89" s="31">
        <v>0.0</v>
      </c>
      <c r="AF89" s="13">
        <f t="shared" si="29"/>
        <v>0</v>
      </c>
      <c r="AG89" s="33">
        <f t="shared" si="30"/>
        <v>0</v>
      </c>
      <c r="AH89" s="33">
        <f t="shared" si="31"/>
        <v>0</v>
      </c>
      <c r="AI89" s="33">
        <v>3.0</v>
      </c>
      <c r="AJ89" s="33">
        <v>3.0</v>
      </c>
      <c r="AK89" s="33">
        <v>6.0</v>
      </c>
      <c r="AL89" s="33">
        <v>6.0</v>
      </c>
    </row>
    <row r="90">
      <c r="A90" s="20" t="s">
        <v>2</v>
      </c>
      <c r="B90" s="8">
        <v>0.0</v>
      </c>
      <c r="C90" s="8" t="str">
        <f t="shared" si="26"/>
        <v>-</v>
      </c>
      <c r="D90" s="8">
        <v>0.0</v>
      </c>
      <c r="E90" s="21" t="s">
        <v>5</v>
      </c>
      <c r="F90" s="22" t="str">
        <f t="shared" si="27"/>
        <v>Oavgjort</v>
      </c>
      <c r="G90" s="22" t="str">
        <f t="shared" si="28"/>
        <v>Oavgjort</v>
      </c>
      <c r="H90" s="38"/>
      <c r="I90" s="9">
        <v>0.0</v>
      </c>
      <c r="J90" s="9">
        <v>0.0</v>
      </c>
      <c r="K90" s="24">
        <v>1.0</v>
      </c>
      <c r="L90" s="24">
        <v>1.0</v>
      </c>
      <c r="M90" s="35"/>
      <c r="N90" s="10">
        <v>0.0</v>
      </c>
      <c r="O90" s="10">
        <v>0.0</v>
      </c>
      <c r="P90" s="26">
        <v>1.0</v>
      </c>
      <c r="Q90" s="26">
        <v>1.0</v>
      </c>
      <c r="R90" s="36"/>
      <c r="S90" s="11">
        <v>0.0</v>
      </c>
      <c r="T90" s="11">
        <v>0.0</v>
      </c>
      <c r="U90" s="28">
        <v>0.0</v>
      </c>
      <c r="V90" s="28">
        <v>0.0</v>
      </c>
      <c r="W90" s="29"/>
      <c r="X90" s="30">
        <v>0.0</v>
      </c>
      <c r="Y90" s="30">
        <v>0.0</v>
      </c>
      <c r="Z90" s="31">
        <v>0.0</v>
      </c>
      <c r="AA90" s="31">
        <v>0.0</v>
      </c>
      <c r="AF90" s="13">
        <f t="shared" si="29"/>
        <v>0</v>
      </c>
      <c r="AG90" s="33">
        <f t="shared" si="30"/>
        <v>0</v>
      </c>
      <c r="AH90" s="33">
        <f t="shared" si="31"/>
        <v>0</v>
      </c>
      <c r="AI90" s="33">
        <v>3.0</v>
      </c>
      <c r="AJ90" s="33">
        <v>3.0</v>
      </c>
      <c r="AK90" s="33">
        <v>6.0</v>
      </c>
      <c r="AL90" s="33">
        <v>6.0</v>
      </c>
    </row>
    <row r="91">
      <c r="A91" s="20" t="s">
        <v>2</v>
      </c>
      <c r="B91" s="8">
        <v>0.0</v>
      </c>
      <c r="C91" s="8" t="str">
        <f t="shared" si="26"/>
        <v>-</v>
      </c>
      <c r="D91" s="8">
        <v>0.0</v>
      </c>
      <c r="E91" s="21" t="s">
        <v>5</v>
      </c>
      <c r="F91" s="22" t="str">
        <f t="shared" si="27"/>
        <v>Oavgjort</v>
      </c>
      <c r="G91" s="22" t="str">
        <f t="shared" si="28"/>
        <v>Oavgjort</v>
      </c>
      <c r="H91" s="23"/>
      <c r="I91" s="9">
        <v>0.0</v>
      </c>
      <c r="J91" s="9">
        <v>0.0</v>
      </c>
      <c r="K91" s="24">
        <v>1.0</v>
      </c>
      <c r="L91" s="24">
        <v>1.0</v>
      </c>
      <c r="M91" s="35"/>
      <c r="N91" s="10">
        <v>0.0</v>
      </c>
      <c r="O91" s="10">
        <v>0.0</v>
      </c>
      <c r="P91" s="26">
        <v>1.0</v>
      </c>
      <c r="Q91" s="26">
        <v>1.0</v>
      </c>
      <c r="R91" s="36"/>
      <c r="S91" s="11">
        <v>0.0</v>
      </c>
      <c r="T91" s="11">
        <v>0.0</v>
      </c>
      <c r="U91" s="28">
        <v>0.0</v>
      </c>
      <c r="V91" s="28">
        <v>0.0</v>
      </c>
      <c r="W91" s="29"/>
      <c r="X91" s="30">
        <v>0.0</v>
      </c>
      <c r="Y91" s="30">
        <v>0.0</v>
      </c>
      <c r="Z91" s="31">
        <v>0.0</v>
      </c>
      <c r="AA91" s="31">
        <v>0.0</v>
      </c>
      <c r="AF91" s="13">
        <f t="shared" si="29"/>
        <v>0</v>
      </c>
      <c r="AG91" s="33">
        <f t="shared" si="30"/>
        <v>0</v>
      </c>
      <c r="AH91" s="33">
        <f t="shared" si="31"/>
        <v>0</v>
      </c>
      <c r="AI91" s="33">
        <v>3.0</v>
      </c>
      <c r="AJ91" s="33">
        <v>3.0</v>
      </c>
      <c r="AK91" s="33">
        <v>6.0</v>
      </c>
      <c r="AL91" s="33">
        <v>6.0</v>
      </c>
    </row>
    <row r="92">
      <c r="A92" s="20" t="s">
        <v>2</v>
      </c>
      <c r="B92" s="8">
        <v>1.0</v>
      </c>
      <c r="C92" s="8" t="str">
        <f t="shared" si="26"/>
        <v>-</v>
      </c>
      <c r="D92" s="8">
        <v>1.0</v>
      </c>
      <c r="E92" s="21" t="s">
        <v>5</v>
      </c>
      <c r="F92" s="22" t="str">
        <f t="shared" si="27"/>
        <v>Oavgjort</v>
      </c>
      <c r="G92" s="22" t="str">
        <f t="shared" si="28"/>
        <v>Oavgjort</v>
      </c>
      <c r="H92" s="38"/>
      <c r="K92" s="24">
        <v>1.0</v>
      </c>
      <c r="L92" s="24">
        <v>1.0</v>
      </c>
      <c r="M92" s="35"/>
      <c r="P92" s="26">
        <v>1.0</v>
      </c>
      <c r="Q92" s="26">
        <v>1.0</v>
      </c>
      <c r="R92" s="36"/>
      <c r="U92" s="28">
        <v>0.0</v>
      </c>
      <c r="V92" s="28">
        <v>0.0</v>
      </c>
      <c r="W92" s="37"/>
      <c r="Z92" s="31">
        <v>0.0</v>
      </c>
      <c r="AA92" s="31">
        <v>0.0</v>
      </c>
      <c r="AF92" s="13">
        <f t="shared" si="29"/>
        <v>0</v>
      </c>
      <c r="AG92" s="33">
        <f t="shared" si="30"/>
        <v>0</v>
      </c>
      <c r="AH92" s="33">
        <f t="shared" si="31"/>
        <v>0</v>
      </c>
      <c r="AI92" s="33">
        <v>3.0</v>
      </c>
      <c r="AJ92" s="33">
        <v>3.0</v>
      </c>
      <c r="AK92" s="33">
        <v>6.0</v>
      </c>
      <c r="AL92" s="33">
        <v>6.0</v>
      </c>
    </row>
    <row r="93">
      <c r="A93" s="20" t="s">
        <v>2</v>
      </c>
      <c r="B93" s="8">
        <v>3.0</v>
      </c>
      <c r="C93" s="8" t="str">
        <f t="shared" si="26"/>
        <v>-</v>
      </c>
      <c r="D93" s="8">
        <v>3.0</v>
      </c>
      <c r="E93" s="21" t="s">
        <v>5</v>
      </c>
      <c r="F93" s="22" t="str">
        <f t="shared" si="27"/>
        <v>Oavgjort</v>
      </c>
      <c r="G93" s="22" t="str">
        <f t="shared" si="28"/>
        <v>Oavgjort</v>
      </c>
      <c r="K93" s="24">
        <v>1.0</v>
      </c>
      <c r="L93" s="24">
        <v>1.0</v>
      </c>
      <c r="P93" s="26">
        <v>1.0</v>
      </c>
      <c r="Q93" s="26">
        <v>1.0</v>
      </c>
      <c r="U93" s="28">
        <v>0.0</v>
      </c>
      <c r="V93" s="28">
        <v>0.0</v>
      </c>
      <c r="Z93" s="31">
        <v>0.0</v>
      </c>
      <c r="AA93" s="31">
        <v>0.0</v>
      </c>
      <c r="AF93" s="13">
        <f t="shared" si="29"/>
        <v>0</v>
      </c>
      <c r="AG93" s="33">
        <f t="shared" si="30"/>
        <v>0</v>
      </c>
      <c r="AH93" s="33">
        <f t="shared" si="31"/>
        <v>0</v>
      </c>
      <c r="AI93" s="33">
        <v>3.0</v>
      </c>
      <c r="AJ93" s="33">
        <v>3.0</v>
      </c>
      <c r="AK93" s="33">
        <v>6.0</v>
      </c>
      <c r="AL93" s="33">
        <v>6.0</v>
      </c>
    </row>
    <row r="94">
      <c r="A94" s="20" t="s">
        <v>2</v>
      </c>
      <c r="B94" s="8">
        <v>1.0</v>
      </c>
      <c r="C94" s="8" t="str">
        <f t="shared" si="26"/>
        <v>-</v>
      </c>
      <c r="D94" s="8">
        <v>1.0</v>
      </c>
      <c r="E94" s="21" t="s">
        <v>5</v>
      </c>
      <c r="F94" s="22" t="str">
        <f t="shared" si="27"/>
        <v>Oavgjort</v>
      </c>
      <c r="G94" s="22" t="str">
        <f t="shared" si="28"/>
        <v>Oavgjort</v>
      </c>
      <c r="K94" s="24">
        <v>1.0</v>
      </c>
      <c r="L94" s="24">
        <v>1.0</v>
      </c>
      <c r="P94" s="26">
        <v>1.0</v>
      </c>
      <c r="Q94" s="26">
        <v>1.0</v>
      </c>
      <c r="U94" s="28">
        <v>0.0</v>
      </c>
      <c r="V94" s="28">
        <v>0.0</v>
      </c>
      <c r="Z94" s="31">
        <v>0.0</v>
      </c>
      <c r="AA94" s="31">
        <v>0.0</v>
      </c>
      <c r="AF94" s="13">
        <f t="shared" si="29"/>
        <v>0</v>
      </c>
      <c r="AG94" s="33">
        <f t="shared" si="30"/>
        <v>0</v>
      </c>
      <c r="AH94" s="33">
        <f t="shared" si="31"/>
        <v>0</v>
      </c>
      <c r="AI94" s="33">
        <v>3.0</v>
      </c>
      <c r="AJ94" s="33">
        <v>3.0</v>
      </c>
      <c r="AK94" s="33">
        <v>6.0</v>
      </c>
      <c r="AL94" s="33">
        <v>6.0</v>
      </c>
    </row>
    <row r="95">
      <c r="A95" s="20" t="s">
        <v>2</v>
      </c>
      <c r="B95" s="8"/>
      <c r="C95" s="8" t="str">
        <f t="shared" si="26"/>
        <v>-</v>
      </c>
      <c r="D95" s="8"/>
      <c r="E95" s="21" t="s">
        <v>5</v>
      </c>
      <c r="F95" s="22" t="str">
        <f t="shared" si="27"/>
        <v/>
      </c>
      <c r="G95" s="22" t="str">
        <f t="shared" si="28"/>
        <v/>
      </c>
      <c r="K95" s="24">
        <v>1.0</v>
      </c>
      <c r="L95" s="24">
        <v>1.0</v>
      </c>
      <c r="P95" s="26">
        <v>1.0</v>
      </c>
      <c r="Q95" s="26">
        <v>1.0</v>
      </c>
      <c r="U95" s="28">
        <v>0.0</v>
      </c>
      <c r="V95" s="28">
        <v>0.0</v>
      </c>
      <c r="Z95" s="31">
        <v>0.0</v>
      </c>
      <c r="AA95" s="31">
        <v>0.0</v>
      </c>
      <c r="AF95" s="13">
        <f t="shared" si="29"/>
        <v>0</v>
      </c>
      <c r="AG95" s="33">
        <f t="shared" si="30"/>
        <v>0</v>
      </c>
      <c r="AH95" s="33">
        <f t="shared" si="31"/>
        <v>0</v>
      </c>
      <c r="AI95" s="33">
        <v>3.0</v>
      </c>
      <c r="AJ95" s="33">
        <v>3.0</v>
      </c>
      <c r="AK95" s="33">
        <v>6.0</v>
      </c>
      <c r="AL95" s="33">
        <v>6.0</v>
      </c>
    </row>
    <row r="96">
      <c r="A96" s="20" t="s">
        <v>2</v>
      </c>
      <c r="B96" s="8"/>
      <c r="C96" s="8" t="str">
        <f t="shared" si="26"/>
        <v>-</v>
      </c>
      <c r="D96" s="8"/>
      <c r="E96" s="21" t="s">
        <v>5</v>
      </c>
      <c r="F96" s="22" t="str">
        <f t="shared" si="27"/>
        <v/>
      </c>
      <c r="G96" s="22" t="str">
        <f t="shared" si="28"/>
        <v/>
      </c>
      <c r="K96" s="24">
        <v>1.0</v>
      </c>
      <c r="L96" s="24">
        <v>1.0</v>
      </c>
      <c r="P96" s="26">
        <v>1.0</v>
      </c>
      <c r="Q96" s="26">
        <v>1.0</v>
      </c>
      <c r="U96" s="28">
        <v>0.0</v>
      </c>
      <c r="V96" s="28">
        <v>0.0</v>
      </c>
      <c r="Z96" s="31">
        <v>0.0</v>
      </c>
      <c r="AA96" s="31">
        <v>0.0</v>
      </c>
      <c r="AF96" s="13">
        <f t="shared" si="29"/>
        <v>0</v>
      </c>
      <c r="AG96" s="33">
        <f t="shared" si="30"/>
        <v>0</v>
      </c>
      <c r="AH96" s="33">
        <f t="shared" si="31"/>
        <v>0</v>
      </c>
      <c r="AI96" s="33">
        <v>3.0</v>
      </c>
      <c r="AJ96" s="33">
        <v>3.0</v>
      </c>
      <c r="AK96" s="33">
        <v>6.0</v>
      </c>
      <c r="AL96" s="33">
        <v>6.0</v>
      </c>
    </row>
    <row r="97">
      <c r="A97" s="20" t="s">
        <v>2</v>
      </c>
      <c r="B97" s="8"/>
      <c r="C97" s="8" t="str">
        <f t="shared" si="26"/>
        <v>-</v>
      </c>
      <c r="D97" s="8"/>
      <c r="E97" s="21" t="s">
        <v>5</v>
      </c>
      <c r="F97" s="22" t="str">
        <f t="shared" si="27"/>
        <v/>
      </c>
      <c r="G97" s="22" t="str">
        <f t="shared" si="28"/>
        <v/>
      </c>
      <c r="K97" s="24">
        <v>1.0</v>
      </c>
      <c r="L97" s="24">
        <v>1.0</v>
      </c>
      <c r="P97" s="26">
        <v>1.0</v>
      </c>
      <c r="Q97" s="26">
        <v>1.0</v>
      </c>
      <c r="U97" s="28">
        <v>0.0</v>
      </c>
      <c r="V97" s="28">
        <v>0.0</v>
      </c>
      <c r="Z97" s="31">
        <v>0.0</v>
      </c>
      <c r="AA97" s="31">
        <v>0.0</v>
      </c>
      <c r="AF97" s="13">
        <f t="shared" si="29"/>
        <v>0</v>
      </c>
      <c r="AG97" s="33">
        <f t="shared" si="30"/>
        <v>0</v>
      </c>
      <c r="AH97" s="33">
        <f t="shared" si="31"/>
        <v>0</v>
      </c>
      <c r="AI97" s="33">
        <v>3.0</v>
      </c>
      <c r="AJ97" s="33">
        <v>3.0</v>
      </c>
      <c r="AK97" s="33">
        <v>6.0</v>
      </c>
      <c r="AL97" s="33">
        <v>6.0</v>
      </c>
    </row>
    <row r="98">
      <c r="A98" s="20" t="s">
        <v>2</v>
      </c>
      <c r="B98" s="8"/>
      <c r="C98" s="8" t="str">
        <f t="shared" si="26"/>
        <v>-</v>
      </c>
      <c r="D98" s="8"/>
      <c r="E98" s="21" t="s">
        <v>5</v>
      </c>
      <c r="F98" s="22" t="str">
        <f t="shared" si="27"/>
        <v/>
      </c>
      <c r="G98" s="22" t="str">
        <f t="shared" si="28"/>
        <v/>
      </c>
      <c r="K98" s="24">
        <v>1.0</v>
      </c>
      <c r="L98" s="24">
        <v>1.0</v>
      </c>
      <c r="P98" s="26">
        <v>1.0</v>
      </c>
      <c r="Q98" s="26">
        <v>1.0</v>
      </c>
      <c r="U98" s="28">
        <v>0.0</v>
      </c>
      <c r="V98" s="28">
        <v>0.0</v>
      </c>
      <c r="Z98" s="31">
        <v>0.0</v>
      </c>
      <c r="AA98" s="31">
        <v>0.0</v>
      </c>
      <c r="AF98" s="13">
        <f t="shared" si="29"/>
        <v>0</v>
      </c>
      <c r="AG98" s="33">
        <f t="shared" si="30"/>
        <v>0</v>
      </c>
      <c r="AH98" s="33">
        <f t="shared" si="31"/>
        <v>0</v>
      </c>
      <c r="AI98" s="33">
        <v>3.0</v>
      </c>
      <c r="AJ98" s="33">
        <v>3.0</v>
      </c>
      <c r="AK98" s="33">
        <v>6.0</v>
      </c>
      <c r="AL98" s="33">
        <v>6.0</v>
      </c>
    </row>
    <row r="99">
      <c r="A99" s="20" t="s">
        <v>2</v>
      </c>
      <c r="B99" s="8"/>
      <c r="C99" s="8" t="str">
        <f t="shared" si="26"/>
        <v>-</v>
      </c>
      <c r="D99" s="8"/>
      <c r="E99" s="21" t="s">
        <v>5</v>
      </c>
      <c r="F99" s="22" t="str">
        <f t="shared" si="27"/>
        <v/>
      </c>
      <c r="G99" s="22" t="str">
        <f t="shared" si="28"/>
        <v/>
      </c>
      <c r="K99" s="24">
        <v>1.0</v>
      </c>
      <c r="L99" s="24">
        <v>1.0</v>
      </c>
      <c r="P99" s="26">
        <v>1.0</v>
      </c>
      <c r="Q99" s="26">
        <v>1.0</v>
      </c>
      <c r="U99" s="28">
        <v>0.0</v>
      </c>
      <c r="V99" s="28">
        <v>0.0</v>
      </c>
      <c r="Z99" s="31">
        <v>0.0</v>
      </c>
      <c r="AA99" s="31">
        <v>0.0</v>
      </c>
      <c r="AF99" s="13">
        <f t="shared" si="29"/>
        <v>0</v>
      </c>
      <c r="AG99" s="33">
        <f t="shared" si="30"/>
        <v>0</v>
      </c>
      <c r="AH99" s="33">
        <f t="shared" si="31"/>
        <v>0</v>
      </c>
      <c r="AI99" s="33">
        <v>3.0</v>
      </c>
      <c r="AJ99" s="33">
        <v>3.0</v>
      </c>
      <c r="AK99" s="33">
        <v>6.0</v>
      </c>
      <c r="AL99" s="33">
        <v>6.0</v>
      </c>
    </row>
    <row r="100">
      <c r="A100" s="20" t="s">
        <v>2</v>
      </c>
      <c r="B100" s="8"/>
      <c r="C100" s="8" t="str">
        <f t="shared" si="26"/>
        <v>-</v>
      </c>
      <c r="D100" s="22"/>
      <c r="E100" s="21" t="s">
        <v>5</v>
      </c>
      <c r="F100" s="22" t="str">
        <f t="shared" si="27"/>
        <v/>
      </c>
      <c r="G100" s="22" t="str">
        <f t="shared" si="28"/>
        <v/>
      </c>
      <c r="K100" s="24">
        <v>1.0</v>
      </c>
      <c r="L100" s="24">
        <v>1.0</v>
      </c>
      <c r="P100" s="26">
        <v>1.0</v>
      </c>
      <c r="Q100" s="26">
        <v>1.0</v>
      </c>
      <c r="U100" s="28">
        <v>0.0</v>
      </c>
      <c r="V100" s="28">
        <v>0.0</v>
      </c>
      <c r="Z100" s="31">
        <v>0.0</v>
      </c>
      <c r="AA100" s="31">
        <v>0.0</v>
      </c>
      <c r="AF100" s="13">
        <f t="shared" si="29"/>
        <v>0</v>
      </c>
      <c r="AG100" s="33">
        <f t="shared" si="30"/>
        <v>0</v>
      </c>
      <c r="AH100" s="33">
        <f t="shared" si="31"/>
        <v>0</v>
      </c>
      <c r="AI100" s="33">
        <v>3.0</v>
      </c>
      <c r="AJ100" s="33">
        <v>3.0</v>
      </c>
      <c r="AK100" s="33">
        <v>6.0</v>
      </c>
      <c r="AL100" s="33">
        <v>6.0</v>
      </c>
    </row>
    <row r="101">
      <c r="A101" s="39"/>
      <c r="B101" s="8"/>
      <c r="C101" s="8" t="str">
        <f t="shared" si="26"/>
        <v/>
      </c>
      <c r="D101" s="8"/>
      <c r="E101" s="46"/>
      <c r="F101" s="22" t="str">
        <f t="shared" si="27"/>
        <v/>
      </c>
      <c r="G101" s="22" t="str">
        <f t="shared" si="28"/>
        <v/>
      </c>
      <c r="K101" s="24">
        <v>1.0</v>
      </c>
      <c r="L101" s="24">
        <v>1.0</v>
      </c>
      <c r="P101" s="26">
        <v>1.0</v>
      </c>
      <c r="Q101" s="26">
        <v>1.0</v>
      </c>
      <c r="U101" s="28">
        <v>0.0</v>
      </c>
      <c r="V101" s="28">
        <v>0.0</v>
      </c>
      <c r="Z101" s="31">
        <v>0.0</v>
      </c>
      <c r="AA101" s="31">
        <v>0.0</v>
      </c>
      <c r="AF101" s="13">
        <f t="shared" si="29"/>
        <v>0</v>
      </c>
      <c r="AG101" s="33">
        <f t="shared" si="30"/>
        <v>0</v>
      </c>
      <c r="AH101" s="33">
        <f t="shared" si="31"/>
        <v>0</v>
      </c>
      <c r="AI101" s="33">
        <v>3.0</v>
      </c>
      <c r="AJ101" s="33">
        <v>3.0</v>
      </c>
      <c r="AK101" s="33">
        <v>6.0</v>
      </c>
      <c r="AL101" s="33">
        <v>6.0</v>
      </c>
    </row>
    <row r="102">
      <c r="A102" s="39"/>
      <c r="B102" s="22"/>
      <c r="C102" s="8" t="str">
        <f t="shared" si="26"/>
        <v/>
      </c>
      <c r="D102" s="22"/>
      <c r="E102" s="46"/>
      <c r="F102" s="22"/>
      <c r="G102" s="22"/>
      <c r="K102" s="24">
        <v>1.0</v>
      </c>
      <c r="L102" s="24">
        <v>1.0</v>
      </c>
      <c r="P102" s="26">
        <v>1.0</v>
      </c>
      <c r="Q102" s="26">
        <v>1.0</v>
      </c>
      <c r="U102" s="28">
        <v>0.0</v>
      </c>
      <c r="V102" s="28">
        <v>0.0</v>
      </c>
      <c r="Z102" s="31">
        <v>0.0</v>
      </c>
      <c r="AA102" s="31">
        <v>0.0</v>
      </c>
      <c r="AF102" s="13">
        <f t="shared" si="29"/>
        <v>0</v>
      </c>
      <c r="AG102" s="33">
        <f t="shared" si="30"/>
        <v>0</v>
      </c>
      <c r="AH102" s="33">
        <f t="shared" si="31"/>
        <v>0</v>
      </c>
      <c r="AI102" s="33">
        <v>3.0</v>
      </c>
      <c r="AJ102" s="33">
        <v>3.0</v>
      </c>
      <c r="AK102" s="33">
        <v>6.0</v>
      </c>
      <c r="AL102" s="33">
        <v>6.0</v>
      </c>
    </row>
    <row r="103">
      <c r="A103" s="39"/>
      <c r="AH103" s="39"/>
      <c r="AI103" s="39"/>
      <c r="AJ103" s="39"/>
      <c r="AK103" s="39"/>
      <c r="AL103" s="39"/>
    </row>
    <row r="104">
      <c r="A104" s="40" t="str">
        <f>IFERROR(__xludf.DUMMYFUNCTION("""Gameweek "" &amp; (VALUE(REGEXEXTRACT(A84, ""Gameweek (\d+)"")) + 1)"),"Gameweek 6")</f>
        <v>Gameweek 6</v>
      </c>
      <c r="F104" s="40"/>
      <c r="G104" s="40"/>
      <c r="H104" s="41" t="str">
        <f>A104</f>
        <v>Gameweek 6</v>
      </c>
      <c r="K104" s="15" t="s">
        <v>21</v>
      </c>
      <c r="L104" s="15" t="s">
        <v>22</v>
      </c>
      <c r="M104" s="42" t="str">
        <f>A104</f>
        <v>Gameweek 6</v>
      </c>
      <c r="P104" s="16" t="s">
        <v>21</v>
      </c>
      <c r="Q104" s="16" t="s">
        <v>22</v>
      </c>
      <c r="R104" s="43" t="str">
        <f>A104</f>
        <v>Gameweek 6</v>
      </c>
      <c r="U104" s="17" t="s">
        <v>21</v>
      </c>
      <c r="V104" s="17" t="s">
        <v>22</v>
      </c>
      <c r="W104" s="44" t="str">
        <f>A104</f>
        <v>Gameweek 6</v>
      </c>
      <c r="Z104" s="18" t="s">
        <v>21</v>
      </c>
      <c r="AA104" s="18" t="s">
        <v>22</v>
      </c>
      <c r="AB104" s="45" t="str">
        <f>A104</f>
        <v>Gameweek 6</v>
      </c>
      <c r="AF104" s="19" t="s">
        <v>21</v>
      </c>
      <c r="AG104" s="19" t="s">
        <v>22</v>
      </c>
      <c r="AH104" s="19" t="s">
        <v>17</v>
      </c>
      <c r="AI104" s="19" t="s">
        <v>23</v>
      </c>
    </row>
    <row r="105">
      <c r="A105" s="47" t="str">
        <f>IFERROR(__xludf.DUMMYFUNCTION("IFERROR(ARRAYFORMULA(FLATTEN(SPLIT(REPT(TEXTJOIN("","", TRUE, FILTER({H$2, M$2, R$2}, {H105, M105, R105} &lt;&gt; """")) &amp; "","", CEILING(18 / COUNTA(FILTER({H$2, M$2, R$2}, {H105, M105, R105} &lt;&gt; """")))), "",""))), """")
"),"Blå")</f>
        <v>Blå</v>
      </c>
      <c r="B105" s="8">
        <v>0.0</v>
      </c>
      <c r="C105" s="8" t="str">
        <f t="shared" ref="C105:C122" si="32">IF(ISBLANK(A105), "", "-")
</f>
        <v>-</v>
      </c>
      <c r="D105" s="8">
        <v>1.0</v>
      </c>
      <c r="E105" s="48" t="str">
        <f t="array" ref="E105:E122">{A122; A105:A121}</f>
        <v>Grön</v>
      </c>
      <c r="F105" s="22" t="str">
        <f t="shared" ref="F105:F121" si="33">IF(AND(B105 &lt;&gt; "", D105 &lt;&gt; ""), IF(B105 &gt; D105, A105, IF(D105 &gt; B105, E105, "Oavgjort")), "")</f>
        <v>Grön</v>
      </c>
      <c r="G105" s="22" t="str">
        <f t="shared" ref="G105:G121" si="34">IF(AND(B105 &lt;&gt; "", D105 &lt;&gt; ""), IF(B105 &lt; D105, A105, IF(D105 &lt; B105, E105, "Oavgjort")), "")
</f>
        <v>Blå</v>
      </c>
      <c r="H105" s="38" t="s">
        <v>58</v>
      </c>
      <c r="I105" s="9">
        <v>3.0</v>
      </c>
      <c r="J105" s="9">
        <v>1.0</v>
      </c>
      <c r="K105" s="24">
        <f t="array" ref="K105:K122">IF(SEQUENCE(18, 1), COUNTIF(F105:F122, $H$2))
</f>
        <v>3</v>
      </c>
      <c r="L105" s="24">
        <f t="array" ref="L105:L122">IF(SEQUENCE(18, 1), COUNTIF(G105:G122, $H$2))
</f>
        <v>2</v>
      </c>
      <c r="M105" s="35" t="s">
        <v>45</v>
      </c>
      <c r="N105" s="10">
        <v>3.0</v>
      </c>
      <c r="O105" s="10">
        <v>0.0</v>
      </c>
      <c r="P105" s="26">
        <f t="array" ref="P105:P122">IF(SEQUENCE(18, 1), COUNTIF(F105:F122, $M$2))
</f>
        <v>3</v>
      </c>
      <c r="Q105" s="26">
        <f t="array" ref="Q105:Q122">IF(SEQUENCE(18, 1), COUNTIF(G105:G122, $M$2))
</f>
        <v>3</v>
      </c>
      <c r="R105" s="36" t="s">
        <v>28</v>
      </c>
      <c r="S105" s="11">
        <v>0.0</v>
      </c>
      <c r="T105" s="11">
        <v>0.0</v>
      </c>
      <c r="U105" s="28">
        <f t="array" ref="U105:U122">IF(SEQUENCE(18, 1), COUNTIF(F105:F122, $R$2))
</f>
        <v>2</v>
      </c>
      <c r="V105" s="28">
        <f t="array" ref="V105:V122">IF(SEQUENCE(18, 1), COUNTIF(G105:G122, $R$2))
</f>
        <v>3</v>
      </c>
      <c r="W105" s="50" t="s">
        <v>40</v>
      </c>
      <c r="X105" s="30">
        <v>0.0</v>
      </c>
      <c r="Y105" s="30">
        <v>3.0</v>
      </c>
      <c r="Z105" s="31">
        <f t="array" ref="Z105:Z122">IF(SEQUENCE(18, 1), COUNTIF(F105:F122, $W$2))
</f>
        <v>0</v>
      </c>
      <c r="AA105" s="31">
        <f t="array" ref="AA105:AA122">IF(SEQUENCE(18, 1), COUNTIF(G105:G122, $W$2))
</f>
        <v>0</v>
      </c>
      <c r="AB105" s="32" t="s">
        <v>9</v>
      </c>
      <c r="AC105" s="32"/>
      <c r="AD105" s="13">
        <v>0.0</v>
      </c>
      <c r="AE105" s="13">
        <v>0.0</v>
      </c>
      <c r="AF105" s="13">
        <f t="shared" ref="AF105:AF122" si="35">IF(AB105 = "Borta", AJ105, (IF(AB105 = "Hemma", AI105, 0)))</f>
        <v>3</v>
      </c>
      <c r="AG105" s="33">
        <f t="shared" ref="AG105:AG122" si="36">IF(AB105 = "Hemma", AJ105, (IF(AB105 = "Borta", AI105, 0)))</f>
        <v>5</v>
      </c>
      <c r="AH105" s="33">
        <f t="shared" ref="AH105:AH122" si="37">IF(AB105 = "Borta", AK105, (IF(AB105 = "Hemma", AL105, 0)))</f>
        <v>5</v>
      </c>
      <c r="AI105" s="33">
        <f t="array" ref="AI105:AI122">IF(F105 &lt;&gt; "",
     SEQUENCE(18,1,1,0)*SUM(IF(A105:A122 = F105:F122, 1, 0)),
     SEQUENCE(18,1,0,0)
  )</f>
        <v>3</v>
      </c>
      <c r="AJ105" s="33">
        <f t="array" ref="AJ105:AJ122">IF(G105 &lt;&gt; "",
     SEQUENCE(18,1,1,0)*SUM(IF(E105:E122 = F105:F122, 1, 0)),
     SEQUENCE(18,1,0,0)
  )</f>
        <v>5</v>
      </c>
      <c r="AK105" s="33">
        <f t="array" ref="AK105:AK122">IF(SEQUENCE(18, 1), COUNTIF(B105:B122, 0))</f>
        <v>5</v>
      </c>
      <c r="AL105" s="33">
        <f t="array" ref="AL105:AL122">IF(SEQUENCE(18, 1), COUNTIF(D105:D122, 0))</f>
        <v>5</v>
      </c>
    </row>
    <row r="106">
      <c r="A106" s="20" t="str">
        <f>IFERROR(__xludf.DUMMYFUNCTION("""COMPUTED_VALUE"""),"Rosa")</f>
        <v>Rosa</v>
      </c>
      <c r="B106" s="8">
        <v>0.0</v>
      </c>
      <c r="C106" s="8" t="str">
        <f t="shared" si="32"/>
        <v>-</v>
      </c>
      <c r="D106" s="8">
        <v>1.0</v>
      </c>
      <c r="E106" s="21" t="s">
        <v>2</v>
      </c>
      <c r="F106" s="22" t="str">
        <f t="shared" si="33"/>
        <v>Blå</v>
      </c>
      <c r="G106" s="22" t="str">
        <f t="shared" si="34"/>
        <v>Rosa</v>
      </c>
      <c r="H106" s="38" t="s">
        <v>35</v>
      </c>
      <c r="I106" s="9">
        <v>2.0</v>
      </c>
      <c r="J106" s="9">
        <v>1.0</v>
      </c>
      <c r="K106" s="24">
        <v>3.0</v>
      </c>
      <c r="L106" s="24">
        <v>2.0</v>
      </c>
      <c r="M106" s="35" t="s">
        <v>52</v>
      </c>
      <c r="N106" s="10">
        <v>1.0</v>
      </c>
      <c r="O106" s="10">
        <v>1.0</v>
      </c>
      <c r="P106" s="26">
        <v>3.0</v>
      </c>
      <c r="Q106" s="26">
        <v>3.0</v>
      </c>
      <c r="R106" s="36" t="s">
        <v>33</v>
      </c>
      <c r="S106" s="11">
        <v>1.0</v>
      </c>
      <c r="T106" s="11">
        <v>1.0</v>
      </c>
      <c r="U106" s="28">
        <v>2.0</v>
      </c>
      <c r="V106" s="28">
        <v>3.0</v>
      </c>
      <c r="W106" s="51"/>
      <c r="X106" s="30">
        <v>0.0</v>
      </c>
      <c r="Y106" s="30">
        <v>0.0</v>
      </c>
      <c r="Z106" s="31">
        <v>0.0</v>
      </c>
      <c r="AA106" s="31">
        <v>0.0</v>
      </c>
      <c r="AB106" s="32" t="s">
        <v>11</v>
      </c>
      <c r="AC106" s="32" t="s">
        <v>30</v>
      </c>
      <c r="AD106" s="13">
        <v>0.0</v>
      </c>
      <c r="AE106" s="13">
        <v>0.0</v>
      </c>
      <c r="AF106" s="13">
        <f t="shared" si="35"/>
        <v>5</v>
      </c>
      <c r="AG106" s="33">
        <f t="shared" si="36"/>
        <v>3</v>
      </c>
      <c r="AH106" s="33">
        <f t="shared" si="37"/>
        <v>5</v>
      </c>
      <c r="AI106" s="33">
        <v>3.0</v>
      </c>
      <c r="AJ106" s="33">
        <v>5.0</v>
      </c>
      <c r="AK106" s="33">
        <v>5.0</v>
      </c>
      <c r="AL106" s="33">
        <v>5.0</v>
      </c>
    </row>
    <row r="107">
      <c r="A107" s="20" t="str">
        <f>IFERROR(__xludf.DUMMYFUNCTION("""COMPUTED_VALUE"""),"Grön")</f>
        <v>Grön</v>
      </c>
      <c r="B107" s="8">
        <v>2.0</v>
      </c>
      <c r="C107" s="8" t="str">
        <f t="shared" si="32"/>
        <v>-</v>
      </c>
      <c r="D107" s="8">
        <v>0.0</v>
      </c>
      <c r="E107" s="21" t="s">
        <v>5</v>
      </c>
      <c r="F107" s="22" t="str">
        <f t="shared" si="33"/>
        <v>Grön</v>
      </c>
      <c r="G107" s="22" t="str">
        <f t="shared" si="34"/>
        <v>Rosa</v>
      </c>
      <c r="H107" s="38" t="s">
        <v>34</v>
      </c>
      <c r="I107" s="9">
        <v>0.0</v>
      </c>
      <c r="J107" s="9">
        <v>2.0</v>
      </c>
      <c r="K107" s="24">
        <v>3.0</v>
      </c>
      <c r="L107" s="24">
        <v>2.0</v>
      </c>
      <c r="M107" s="35" t="s">
        <v>51</v>
      </c>
      <c r="N107" s="10">
        <v>3.0</v>
      </c>
      <c r="O107" s="10">
        <v>2.0</v>
      </c>
      <c r="P107" s="26">
        <v>3.0</v>
      </c>
      <c r="Q107" s="26">
        <v>3.0</v>
      </c>
      <c r="R107" s="36" t="s">
        <v>36</v>
      </c>
      <c r="S107" s="11">
        <v>3.0</v>
      </c>
      <c r="T107" s="11">
        <v>0.0</v>
      </c>
      <c r="U107" s="28">
        <v>2.0</v>
      </c>
      <c r="V107" s="28">
        <v>3.0</v>
      </c>
      <c r="W107" s="51"/>
      <c r="X107" s="30">
        <v>0.0</v>
      </c>
      <c r="Y107" s="30">
        <v>0.0</v>
      </c>
      <c r="Z107" s="31">
        <v>0.0</v>
      </c>
      <c r="AA107" s="31">
        <v>0.0</v>
      </c>
      <c r="AB107" s="34"/>
      <c r="AF107" s="13">
        <f t="shared" si="35"/>
        <v>0</v>
      </c>
      <c r="AG107" s="33">
        <f t="shared" si="36"/>
        <v>0</v>
      </c>
      <c r="AH107" s="33">
        <f t="shared" si="37"/>
        <v>0</v>
      </c>
      <c r="AI107" s="33">
        <v>3.0</v>
      </c>
      <c r="AJ107" s="33">
        <v>5.0</v>
      </c>
      <c r="AK107" s="33">
        <v>5.0</v>
      </c>
      <c r="AL107" s="33">
        <v>5.0</v>
      </c>
    </row>
    <row r="108">
      <c r="A108" s="20" t="str">
        <f>IFERROR(__xludf.DUMMYFUNCTION("""COMPUTED_VALUE"""),"Blå")</f>
        <v>Blå</v>
      </c>
      <c r="B108" s="8">
        <v>1.0</v>
      </c>
      <c r="C108" s="8" t="str">
        <f t="shared" si="32"/>
        <v>-</v>
      </c>
      <c r="D108" s="8">
        <v>0.0</v>
      </c>
      <c r="E108" s="21" t="s">
        <v>6</v>
      </c>
      <c r="F108" s="22" t="str">
        <f t="shared" si="33"/>
        <v>Blå</v>
      </c>
      <c r="G108" s="22" t="str">
        <f t="shared" si="34"/>
        <v>Grön</v>
      </c>
      <c r="H108" s="38" t="s">
        <v>29</v>
      </c>
      <c r="I108" s="9">
        <v>1.0</v>
      </c>
      <c r="J108" s="9">
        <v>0.0</v>
      </c>
      <c r="K108" s="24">
        <v>3.0</v>
      </c>
      <c r="L108" s="24">
        <v>2.0</v>
      </c>
      <c r="M108" s="35" t="s">
        <v>44</v>
      </c>
      <c r="N108" s="10">
        <v>1.0</v>
      </c>
      <c r="O108" s="10">
        <v>5.0</v>
      </c>
      <c r="P108" s="26">
        <v>3.0</v>
      </c>
      <c r="Q108" s="26">
        <v>3.0</v>
      </c>
      <c r="R108" s="27" t="s">
        <v>24</v>
      </c>
      <c r="S108" s="11">
        <v>1.0</v>
      </c>
      <c r="T108" s="11">
        <v>3.0</v>
      </c>
      <c r="U108" s="28">
        <v>2.0</v>
      </c>
      <c r="V108" s="28">
        <v>3.0</v>
      </c>
      <c r="W108" s="51"/>
      <c r="X108" s="30">
        <v>0.0</v>
      </c>
      <c r="Y108" s="30">
        <v>0.0</v>
      </c>
      <c r="Z108" s="31">
        <v>0.0</v>
      </c>
      <c r="AA108" s="31">
        <v>0.0</v>
      </c>
      <c r="AF108" s="13">
        <f t="shared" si="35"/>
        <v>0</v>
      </c>
      <c r="AG108" s="33">
        <f t="shared" si="36"/>
        <v>0</v>
      </c>
      <c r="AH108" s="33">
        <f t="shared" si="37"/>
        <v>0</v>
      </c>
      <c r="AI108" s="33">
        <v>3.0</v>
      </c>
      <c r="AJ108" s="33">
        <v>5.0</v>
      </c>
      <c r="AK108" s="33">
        <v>5.0</v>
      </c>
      <c r="AL108" s="33">
        <v>5.0</v>
      </c>
    </row>
    <row r="109">
      <c r="A109" s="20" t="str">
        <f>IFERROR(__xludf.DUMMYFUNCTION("""COMPUTED_VALUE"""),"Rosa")</f>
        <v>Rosa</v>
      </c>
      <c r="B109" s="8">
        <v>1.0</v>
      </c>
      <c r="C109" s="8" t="str">
        <f t="shared" si="32"/>
        <v>-</v>
      </c>
      <c r="D109" s="8">
        <v>1.0</v>
      </c>
      <c r="E109" s="21" t="s">
        <v>2</v>
      </c>
      <c r="F109" s="22" t="str">
        <f t="shared" si="33"/>
        <v>Oavgjort</v>
      </c>
      <c r="G109" s="22" t="str">
        <f t="shared" si="34"/>
        <v>Oavgjort</v>
      </c>
      <c r="H109" s="23" t="s">
        <v>25</v>
      </c>
      <c r="I109" s="9">
        <v>1.0</v>
      </c>
      <c r="J109" s="9">
        <v>2.0</v>
      </c>
      <c r="K109" s="24">
        <v>3.0</v>
      </c>
      <c r="L109" s="24">
        <v>2.0</v>
      </c>
      <c r="M109" s="35"/>
      <c r="N109" s="10">
        <v>0.0</v>
      </c>
      <c r="O109" s="10">
        <v>0.0</v>
      </c>
      <c r="P109" s="26">
        <v>3.0</v>
      </c>
      <c r="Q109" s="26">
        <v>3.0</v>
      </c>
      <c r="R109" s="27"/>
      <c r="S109" s="11">
        <v>0.0</v>
      </c>
      <c r="T109" s="11">
        <v>0.0</v>
      </c>
      <c r="U109" s="28">
        <v>2.0</v>
      </c>
      <c r="V109" s="28">
        <v>3.0</v>
      </c>
      <c r="W109" s="51"/>
      <c r="X109" s="30">
        <v>0.0</v>
      </c>
      <c r="Y109" s="30">
        <v>0.0</v>
      </c>
      <c r="Z109" s="31">
        <v>0.0</v>
      </c>
      <c r="AA109" s="31">
        <v>0.0</v>
      </c>
      <c r="AF109" s="13">
        <f t="shared" si="35"/>
        <v>0</v>
      </c>
      <c r="AG109" s="33">
        <f t="shared" si="36"/>
        <v>0</v>
      </c>
      <c r="AH109" s="33">
        <f t="shared" si="37"/>
        <v>0</v>
      </c>
      <c r="AI109" s="33">
        <v>3.0</v>
      </c>
      <c r="AJ109" s="33">
        <v>5.0</v>
      </c>
      <c r="AK109" s="33">
        <v>5.0</v>
      </c>
      <c r="AL109" s="33">
        <v>5.0</v>
      </c>
    </row>
    <row r="110">
      <c r="A110" s="20" t="str">
        <f>IFERROR(__xludf.DUMMYFUNCTION("""COMPUTED_VALUE"""),"Grön")</f>
        <v>Grön</v>
      </c>
      <c r="B110" s="8">
        <v>1.0</v>
      </c>
      <c r="C110" s="8" t="str">
        <f t="shared" si="32"/>
        <v>-</v>
      </c>
      <c r="D110" s="8">
        <v>3.0</v>
      </c>
      <c r="E110" s="21" t="s">
        <v>5</v>
      </c>
      <c r="F110" s="22" t="str">
        <f t="shared" si="33"/>
        <v>Rosa</v>
      </c>
      <c r="G110" s="22" t="str">
        <f t="shared" si="34"/>
        <v>Grön</v>
      </c>
      <c r="H110" s="38"/>
      <c r="I110" s="9">
        <v>0.0</v>
      </c>
      <c r="J110" s="9">
        <v>0.0</v>
      </c>
      <c r="K110" s="24">
        <v>3.0</v>
      </c>
      <c r="L110" s="24">
        <v>2.0</v>
      </c>
      <c r="M110" s="35"/>
      <c r="N110" s="10">
        <v>0.0</v>
      </c>
      <c r="O110" s="10">
        <v>0.0</v>
      </c>
      <c r="P110" s="26">
        <v>3.0</v>
      </c>
      <c r="Q110" s="26">
        <v>3.0</v>
      </c>
      <c r="R110" s="36"/>
      <c r="S110" s="11">
        <v>0.0</v>
      </c>
      <c r="T110" s="11">
        <v>0.0</v>
      </c>
      <c r="U110" s="28">
        <v>2.0</v>
      </c>
      <c r="V110" s="28">
        <v>3.0</v>
      </c>
      <c r="W110" s="29"/>
      <c r="X110" s="30">
        <v>0.0</v>
      </c>
      <c r="Y110" s="30">
        <v>0.0</v>
      </c>
      <c r="Z110" s="31">
        <v>0.0</v>
      </c>
      <c r="AA110" s="31">
        <v>0.0</v>
      </c>
      <c r="AF110" s="13">
        <f t="shared" si="35"/>
        <v>0</v>
      </c>
      <c r="AG110" s="33">
        <f t="shared" si="36"/>
        <v>0</v>
      </c>
      <c r="AH110" s="33">
        <f t="shared" si="37"/>
        <v>0</v>
      </c>
      <c r="AI110" s="33">
        <v>3.0</v>
      </c>
      <c r="AJ110" s="33">
        <v>5.0</v>
      </c>
      <c r="AK110" s="33">
        <v>5.0</v>
      </c>
      <c r="AL110" s="33">
        <v>5.0</v>
      </c>
    </row>
    <row r="111">
      <c r="A111" s="20" t="str">
        <f>IFERROR(__xludf.DUMMYFUNCTION("""COMPUTED_VALUE"""),"Blå")</f>
        <v>Blå</v>
      </c>
      <c r="B111" s="8">
        <v>0.0</v>
      </c>
      <c r="C111" s="8" t="str">
        <f t="shared" si="32"/>
        <v>-</v>
      </c>
      <c r="D111" s="8">
        <v>0.0</v>
      </c>
      <c r="E111" s="21" t="s">
        <v>6</v>
      </c>
      <c r="F111" s="22" t="str">
        <f t="shared" si="33"/>
        <v>Oavgjort</v>
      </c>
      <c r="G111" s="22" t="str">
        <f t="shared" si="34"/>
        <v>Oavgjort</v>
      </c>
      <c r="H111" s="23"/>
      <c r="I111" s="9">
        <v>0.0</v>
      </c>
      <c r="J111" s="9">
        <v>0.0</v>
      </c>
      <c r="K111" s="24">
        <v>3.0</v>
      </c>
      <c r="L111" s="24">
        <v>2.0</v>
      </c>
      <c r="M111" s="35"/>
      <c r="N111" s="10">
        <v>0.0</v>
      </c>
      <c r="O111" s="10">
        <v>0.0</v>
      </c>
      <c r="P111" s="26">
        <v>3.0</v>
      </c>
      <c r="Q111" s="26">
        <v>3.0</v>
      </c>
      <c r="R111" s="36"/>
      <c r="S111" s="11">
        <v>0.0</v>
      </c>
      <c r="T111" s="11">
        <v>0.0</v>
      </c>
      <c r="U111" s="28">
        <v>2.0</v>
      </c>
      <c r="V111" s="28">
        <v>3.0</v>
      </c>
      <c r="W111" s="29"/>
      <c r="X111" s="30">
        <v>0.0</v>
      </c>
      <c r="Y111" s="30">
        <v>0.0</v>
      </c>
      <c r="Z111" s="31">
        <v>0.0</v>
      </c>
      <c r="AA111" s="31">
        <v>0.0</v>
      </c>
      <c r="AF111" s="13">
        <f t="shared" si="35"/>
        <v>0</v>
      </c>
      <c r="AG111" s="33">
        <f t="shared" si="36"/>
        <v>0</v>
      </c>
      <c r="AH111" s="33">
        <f t="shared" si="37"/>
        <v>0</v>
      </c>
      <c r="AI111" s="33">
        <v>3.0</v>
      </c>
      <c r="AJ111" s="33">
        <v>5.0</v>
      </c>
      <c r="AK111" s="33">
        <v>5.0</v>
      </c>
      <c r="AL111" s="33">
        <v>5.0</v>
      </c>
    </row>
    <row r="112">
      <c r="A112" s="20" t="str">
        <f>IFERROR(__xludf.DUMMYFUNCTION("""COMPUTED_VALUE"""),"Rosa")</f>
        <v>Rosa</v>
      </c>
      <c r="B112" s="8">
        <v>3.0</v>
      </c>
      <c r="C112" s="8" t="str">
        <f t="shared" si="32"/>
        <v>-</v>
      </c>
      <c r="D112" s="8">
        <v>1.0</v>
      </c>
      <c r="E112" s="21" t="s">
        <v>2</v>
      </c>
      <c r="F112" s="22" t="str">
        <f t="shared" si="33"/>
        <v>Rosa</v>
      </c>
      <c r="G112" s="22" t="str">
        <f t="shared" si="34"/>
        <v>Blå</v>
      </c>
      <c r="H112" s="38"/>
      <c r="K112" s="24">
        <v>3.0</v>
      </c>
      <c r="L112" s="24">
        <v>2.0</v>
      </c>
      <c r="M112" s="35"/>
      <c r="P112" s="26">
        <v>3.0</v>
      </c>
      <c r="Q112" s="26">
        <v>3.0</v>
      </c>
      <c r="R112" s="36"/>
      <c r="U112" s="28">
        <v>2.0</v>
      </c>
      <c r="V112" s="28">
        <v>3.0</v>
      </c>
      <c r="W112" s="37"/>
      <c r="Z112" s="31">
        <v>0.0</v>
      </c>
      <c r="AA112" s="31">
        <v>0.0</v>
      </c>
      <c r="AF112" s="13">
        <f t="shared" si="35"/>
        <v>0</v>
      </c>
      <c r="AG112" s="33">
        <f t="shared" si="36"/>
        <v>0</v>
      </c>
      <c r="AH112" s="33">
        <f t="shared" si="37"/>
        <v>0</v>
      </c>
      <c r="AI112" s="33">
        <v>3.0</v>
      </c>
      <c r="AJ112" s="33">
        <v>5.0</v>
      </c>
      <c r="AK112" s="33">
        <v>5.0</v>
      </c>
      <c r="AL112" s="33">
        <v>5.0</v>
      </c>
    </row>
    <row r="113">
      <c r="A113" s="20" t="str">
        <f>IFERROR(__xludf.DUMMYFUNCTION("""COMPUTED_VALUE"""),"Grön")</f>
        <v>Grön</v>
      </c>
      <c r="B113" s="8">
        <v>0.0</v>
      </c>
      <c r="C113" s="8" t="str">
        <f t="shared" si="32"/>
        <v>-</v>
      </c>
      <c r="D113" s="8">
        <v>0.0</v>
      </c>
      <c r="E113" s="21" t="s">
        <v>5</v>
      </c>
      <c r="F113" s="22" t="str">
        <f t="shared" si="33"/>
        <v>Oavgjort</v>
      </c>
      <c r="G113" s="22" t="str">
        <f t="shared" si="34"/>
        <v>Oavgjort</v>
      </c>
      <c r="K113" s="24">
        <v>3.0</v>
      </c>
      <c r="L113" s="24">
        <v>2.0</v>
      </c>
      <c r="P113" s="26">
        <v>3.0</v>
      </c>
      <c r="Q113" s="26">
        <v>3.0</v>
      </c>
      <c r="U113" s="28">
        <v>2.0</v>
      </c>
      <c r="V113" s="28">
        <v>3.0</v>
      </c>
      <c r="Z113" s="31">
        <v>0.0</v>
      </c>
      <c r="AA113" s="31">
        <v>0.0</v>
      </c>
      <c r="AF113" s="13">
        <f t="shared" si="35"/>
        <v>0</v>
      </c>
      <c r="AG113" s="33">
        <f t="shared" si="36"/>
        <v>0</v>
      </c>
      <c r="AH113" s="33">
        <f t="shared" si="37"/>
        <v>0</v>
      </c>
      <c r="AI113" s="33">
        <v>3.0</v>
      </c>
      <c r="AJ113" s="33">
        <v>5.0</v>
      </c>
      <c r="AK113" s="33">
        <v>5.0</v>
      </c>
      <c r="AL113" s="33">
        <v>5.0</v>
      </c>
    </row>
    <row r="114">
      <c r="A114" s="20" t="str">
        <f>IFERROR(__xludf.DUMMYFUNCTION("""COMPUTED_VALUE"""),"Blå")</f>
        <v>Blå</v>
      </c>
      <c r="B114" s="8">
        <v>0.0</v>
      </c>
      <c r="C114" s="8" t="str">
        <f t="shared" si="32"/>
        <v>-</v>
      </c>
      <c r="D114" s="8">
        <v>0.0</v>
      </c>
      <c r="E114" s="21" t="s">
        <v>6</v>
      </c>
      <c r="F114" s="22" t="str">
        <f t="shared" si="33"/>
        <v>Oavgjort</v>
      </c>
      <c r="G114" s="22" t="str">
        <f t="shared" si="34"/>
        <v>Oavgjort</v>
      </c>
      <c r="K114" s="24">
        <v>3.0</v>
      </c>
      <c r="L114" s="24">
        <v>2.0</v>
      </c>
      <c r="P114" s="26">
        <v>3.0</v>
      </c>
      <c r="Q114" s="26">
        <v>3.0</v>
      </c>
      <c r="U114" s="28">
        <v>2.0</v>
      </c>
      <c r="V114" s="28">
        <v>3.0</v>
      </c>
      <c r="Z114" s="31">
        <v>0.0</v>
      </c>
      <c r="AA114" s="31">
        <v>0.0</v>
      </c>
      <c r="AF114" s="13">
        <f t="shared" si="35"/>
        <v>0</v>
      </c>
      <c r="AG114" s="33">
        <f t="shared" si="36"/>
        <v>0</v>
      </c>
      <c r="AH114" s="33">
        <f t="shared" si="37"/>
        <v>0</v>
      </c>
      <c r="AI114" s="33">
        <v>3.0</v>
      </c>
      <c r="AJ114" s="33">
        <v>5.0</v>
      </c>
      <c r="AK114" s="33">
        <v>5.0</v>
      </c>
      <c r="AL114" s="33">
        <v>5.0</v>
      </c>
    </row>
    <row r="115">
      <c r="A115" s="20" t="str">
        <f>IFERROR(__xludf.DUMMYFUNCTION("""COMPUTED_VALUE"""),"Rosa")</f>
        <v>Rosa</v>
      </c>
      <c r="B115" s="8">
        <v>1.0</v>
      </c>
      <c r="C115" s="8" t="str">
        <f t="shared" si="32"/>
        <v>-</v>
      </c>
      <c r="D115" s="8">
        <v>2.0</v>
      </c>
      <c r="E115" s="21" t="s">
        <v>2</v>
      </c>
      <c r="F115" s="22" t="str">
        <f t="shared" si="33"/>
        <v>Blå</v>
      </c>
      <c r="G115" s="22" t="str">
        <f t="shared" si="34"/>
        <v>Rosa</v>
      </c>
      <c r="K115" s="24">
        <v>3.0</v>
      </c>
      <c r="L115" s="24">
        <v>2.0</v>
      </c>
      <c r="P115" s="26">
        <v>3.0</v>
      </c>
      <c r="Q115" s="26">
        <v>3.0</v>
      </c>
      <c r="U115" s="28">
        <v>2.0</v>
      </c>
      <c r="V115" s="28">
        <v>3.0</v>
      </c>
      <c r="Z115" s="31">
        <v>0.0</v>
      </c>
      <c r="AA115" s="31">
        <v>0.0</v>
      </c>
      <c r="AF115" s="13">
        <f t="shared" si="35"/>
        <v>0</v>
      </c>
      <c r="AG115" s="33">
        <f t="shared" si="36"/>
        <v>0</v>
      </c>
      <c r="AH115" s="33">
        <f t="shared" si="37"/>
        <v>0</v>
      </c>
      <c r="AI115" s="33">
        <v>3.0</v>
      </c>
      <c r="AJ115" s="33">
        <v>5.0</v>
      </c>
      <c r="AK115" s="33">
        <v>5.0</v>
      </c>
      <c r="AL115" s="33">
        <v>5.0</v>
      </c>
    </row>
    <row r="116">
      <c r="A116" s="20" t="str">
        <f>IFERROR(__xludf.DUMMYFUNCTION("""COMPUTED_VALUE"""),"Grön")</f>
        <v>Grön</v>
      </c>
      <c r="B116" s="8">
        <v>1.0</v>
      </c>
      <c r="C116" s="8" t="str">
        <f t="shared" si="32"/>
        <v>-</v>
      </c>
      <c r="D116" s="8">
        <v>2.0</v>
      </c>
      <c r="E116" s="21" t="s">
        <v>5</v>
      </c>
      <c r="F116" s="22" t="str">
        <f t="shared" si="33"/>
        <v>Rosa</v>
      </c>
      <c r="G116" s="22" t="str">
        <f t="shared" si="34"/>
        <v>Grön</v>
      </c>
      <c r="K116" s="24">
        <v>3.0</v>
      </c>
      <c r="L116" s="24">
        <v>2.0</v>
      </c>
      <c r="P116" s="26">
        <v>3.0</v>
      </c>
      <c r="Q116" s="26">
        <v>3.0</v>
      </c>
      <c r="U116" s="28">
        <v>2.0</v>
      </c>
      <c r="V116" s="28">
        <v>3.0</v>
      </c>
      <c r="Z116" s="31">
        <v>0.0</v>
      </c>
      <c r="AA116" s="31">
        <v>0.0</v>
      </c>
      <c r="AF116" s="13">
        <f t="shared" si="35"/>
        <v>0</v>
      </c>
      <c r="AG116" s="33">
        <f t="shared" si="36"/>
        <v>0</v>
      </c>
      <c r="AH116" s="33">
        <f t="shared" si="37"/>
        <v>0</v>
      </c>
      <c r="AI116" s="33">
        <v>3.0</v>
      </c>
      <c r="AJ116" s="33">
        <v>5.0</v>
      </c>
      <c r="AK116" s="33">
        <v>5.0</v>
      </c>
      <c r="AL116" s="33">
        <v>5.0</v>
      </c>
    </row>
    <row r="117">
      <c r="A117" s="20" t="str">
        <f>IFERROR(__xludf.DUMMYFUNCTION("""COMPUTED_VALUE"""),"Blå")</f>
        <v>Blå</v>
      </c>
      <c r="B117" s="8"/>
      <c r="C117" s="8" t="str">
        <f t="shared" si="32"/>
        <v>-</v>
      </c>
      <c r="D117" s="8"/>
      <c r="E117" s="21" t="s">
        <v>6</v>
      </c>
      <c r="F117" s="22" t="str">
        <f t="shared" si="33"/>
        <v/>
      </c>
      <c r="G117" s="22" t="str">
        <f t="shared" si="34"/>
        <v/>
      </c>
      <c r="K117" s="24">
        <v>3.0</v>
      </c>
      <c r="L117" s="24">
        <v>2.0</v>
      </c>
      <c r="P117" s="26">
        <v>3.0</v>
      </c>
      <c r="Q117" s="26">
        <v>3.0</v>
      </c>
      <c r="U117" s="28">
        <v>2.0</v>
      </c>
      <c r="V117" s="28">
        <v>3.0</v>
      </c>
      <c r="Z117" s="31">
        <v>0.0</v>
      </c>
      <c r="AA117" s="31">
        <v>0.0</v>
      </c>
      <c r="AF117" s="13">
        <f t="shared" si="35"/>
        <v>0</v>
      </c>
      <c r="AG117" s="33">
        <f t="shared" si="36"/>
        <v>0</v>
      </c>
      <c r="AH117" s="33">
        <f t="shared" si="37"/>
        <v>0</v>
      </c>
      <c r="AI117" s="33">
        <v>3.0</v>
      </c>
      <c r="AJ117" s="33">
        <v>5.0</v>
      </c>
      <c r="AK117" s="33">
        <v>5.0</v>
      </c>
      <c r="AL117" s="33">
        <v>5.0</v>
      </c>
    </row>
    <row r="118">
      <c r="A118" s="20" t="str">
        <f>IFERROR(__xludf.DUMMYFUNCTION("""COMPUTED_VALUE"""),"Rosa")</f>
        <v>Rosa</v>
      </c>
      <c r="B118" s="8"/>
      <c r="C118" s="8" t="str">
        <f t="shared" si="32"/>
        <v>-</v>
      </c>
      <c r="D118" s="8"/>
      <c r="E118" s="21" t="s">
        <v>2</v>
      </c>
      <c r="F118" s="22" t="str">
        <f t="shared" si="33"/>
        <v/>
      </c>
      <c r="G118" s="22" t="str">
        <f t="shared" si="34"/>
        <v/>
      </c>
      <c r="K118" s="24">
        <v>3.0</v>
      </c>
      <c r="L118" s="24">
        <v>2.0</v>
      </c>
      <c r="P118" s="26">
        <v>3.0</v>
      </c>
      <c r="Q118" s="26">
        <v>3.0</v>
      </c>
      <c r="U118" s="28">
        <v>2.0</v>
      </c>
      <c r="V118" s="28">
        <v>3.0</v>
      </c>
      <c r="Z118" s="31">
        <v>0.0</v>
      </c>
      <c r="AA118" s="31">
        <v>0.0</v>
      </c>
      <c r="AF118" s="13">
        <f t="shared" si="35"/>
        <v>0</v>
      </c>
      <c r="AG118" s="33">
        <f t="shared" si="36"/>
        <v>0</v>
      </c>
      <c r="AH118" s="33">
        <f t="shared" si="37"/>
        <v>0</v>
      </c>
      <c r="AI118" s="33">
        <v>3.0</v>
      </c>
      <c r="AJ118" s="33">
        <v>5.0</v>
      </c>
      <c r="AK118" s="33">
        <v>5.0</v>
      </c>
      <c r="AL118" s="33">
        <v>5.0</v>
      </c>
    </row>
    <row r="119">
      <c r="A119" s="20" t="str">
        <f>IFERROR(__xludf.DUMMYFUNCTION("""COMPUTED_VALUE"""),"Grön")</f>
        <v>Grön</v>
      </c>
      <c r="B119" s="8"/>
      <c r="C119" s="8" t="str">
        <f t="shared" si="32"/>
        <v>-</v>
      </c>
      <c r="D119" s="8"/>
      <c r="E119" s="21" t="s">
        <v>5</v>
      </c>
      <c r="F119" s="22" t="str">
        <f t="shared" si="33"/>
        <v/>
      </c>
      <c r="G119" s="22" t="str">
        <f t="shared" si="34"/>
        <v/>
      </c>
      <c r="K119" s="24">
        <v>3.0</v>
      </c>
      <c r="L119" s="24">
        <v>2.0</v>
      </c>
      <c r="P119" s="26">
        <v>3.0</v>
      </c>
      <c r="Q119" s="26">
        <v>3.0</v>
      </c>
      <c r="U119" s="28">
        <v>2.0</v>
      </c>
      <c r="V119" s="28">
        <v>3.0</v>
      </c>
      <c r="Z119" s="31">
        <v>0.0</v>
      </c>
      <c r="AA119" s="31">
        <v>0.0</v>
      </c>
      <c r="AF119" s="13">
        <f t="shared" si="35"/>
        <v>0</v>
      </c>
      <c r="AG119" s="33">
        <f t="shared" si="36"/>
        <v>0</v>
      </c>
      <c r="AH119" s="33">
        <f t="shared" si="37"/>
        <v>0</v>
      </c>
      <c r="AI119" s="33">
        <v>3.0</v>
      </c>
      <c r="AJ119" s="33">
        <v>5.0</v>
      </c>
      <c r="AK119" s="33">
        <v>5.0</v>
      </c>
      <c r="AL119" s="33">
        <v>5.0</v>
      </c>
    </row>
    <row r="120">
      <c r="A120" s="20" t="str">
        <f>IFERROR(__xludf.DUMMYFUNCTION("""COMPUTED_VALUE"""),"Blå")</f>
        <v>Blå</v>
      </c>
      <c r="B120" s="8"/>
      <c r="C120" s="8" t="str">
        <f t="shared" si="32"/>
        <v>-</v>
      </c>
      <c r="D120" s="22"/>
      <c r="E120" s="21" t="s">
        <v>6</v>
      </c>
      <c r="F120" s="22" t="str">
        <f t="shared" si="33"/>
        <v/>
      </c>
      <c r="G120" s="22" t="str">
        <f t="shared" si="34"/>
        <v/>
      </c>
      <c r="K120" s="24">
        <v>3.0</v>
      </c>
      <c r="L120" s="24">
        <v>2.0</v>
      </c>
      <c r="P120" s="26">
        <v>3.0</v>
      </c>
      <c r="Q120" s="26">
        <v>3.0</v>
      </c>
      <c r="U120" s="28">
        <v>2.0</v>
      </c>
      <c r="V120" s="28">
        <v>3.0</v>
      </c>
      <c r="Z120" s="31">
        <v>0.0</v>
      </c>
      <c r="AA120" s="31">
        <v>0.0</v>
      </c>
      <c r="AF120" s="13">
        <f t="shared" si="35"/>
        <v>0</v>
      </c>
      <c r="AG120" s="33">
        <f t="shared" si="36"/>
        <v>0</v>
      </c>
      <c r="AH120" s="33">
        <f t="shared" si="37"/>
        <v>0</v>
      </c>
      <c r="AI120" s="33">
        <v>3.0</v>
      </c>
      <c r="AJ120" s="33">
        <v>5.0</v>
      </c>
      <c r="AK120" s="33">
        <v>5.0</v>
      </c>
      <c r="AL120" s="33">
        <v>5.0</v>
      </c>
    </row>
    <row r="121">
      <c r="A121" s="39" t="str">
        <f>IFERROR(__xludf.DUMMYFUNCTION("""COMPUTED_VALUE"""),"Rosa")</f>
        <v>Rosa</v>
      </c>
      <c r="B121" s="8"/>
      <c r="C121" s="8" t="str">
        <f t="shared" si="32"/>
        <v>-</v>
      </c>
      <c r="D121" s="8"/>
      <c r="E121" s="46" t="s">
        <v>2</v>
      </c>
      <c r="F121" s="22" t="str">
        <f t="shared" si="33"/>
        <v/>
      </c>
      <c r="G121" s="22" t="str">
        <f t="shared" si="34"/>
        <v/>
      </c>
      <c r="K121" s="24">
        <v>3.0</v>
      </c>
      <c r="L121" s="24">
        <v>2.0</v>
      </c>
      <c r="P121" s="26">
        <v>3.0</v>
      </c>
      <c r="Q121" s="26">
        <v>3.0</v>
      </c>
      <c r="U121" s="28">
        <v>2.0</v>
      </c>
      <c r="V121" s="28">
        <v>3.0</v>
      </c>
      <c r="Z121" s="31">
        <v>0.0</v>
      </c>
      <c r="AA121" s="31">
        <v>0.0</v>
      </c>
      <c r="AF121" s="13">
        <f t="shared" si="35"/>
        <v>0</v>
      </c>
      <c r="AG121" s="33">
        <f t="shared" si="36"/>
        <v>0</v>
      </c>
      <c r="AH121" s="33">
        <f t="shared" si="37"/>
        <v>0</v>
      </c>
      <c r="AI121" s="33">
        <v>3.0</v>
      </c>
      <c r="AJ121" s="33">
        <v>5.0</v>
      </c>
      <c r="AK121" s="33">
        <v>5.0</v>
      </c>
      <c r="AL121" s="33">
        <v>5.0</v>
      </c>
    </row>
    <row r="122">
      <c r="A122" s="39" t="str">
        <f>IFERROR(__xludf.DUMMYFUNCTION("""COMPUTED_VALUE"""),"Grön")</f>
        <v>Grön</v>
      </c>
      <c r="B122" s="22"/>
      <c r="C122" s="8" t="str">
        <f t="shared" si="32"/>
        <v>-</v>
      </c>
      <c r="D122" s="22"/>
      <c r="E122" s="46" t="s">
        <v>5</v>
      </c>
      <c r="F122" s="22"/>
      <c r="G122" s="22"/>
      <c r="K122" s="24">
        <v>3.0</v>
      </c>
      <c r="L122" s="24">
        <v>2.0</v>
      </c>
      <c r="P122" s="26">
        <v>3.0</v>
      </c>
      <c r="Q122" s="26">
        <v>3.0</v>
      </c>
      <c r="U122" s="28">
        <v>2.0</v>
      </c>
      <c r="V122" s="28">
        <v>3.0</v>
      </c>
      <c r="Z122" s="31">
        <v>0.0</v>
      </c>
      <c r="AA122" s="31">
        <v>0.0</v>
      </c>
      <c r="AF122" s="13">
        <f t="shared" si="35"/>
        <v>0</v>
      </c>
      <c r="AG122" s="33">
        <f t="shared" si="36"/>
        <v>0</v>
      </c>
      <c r="AH122" s="33">
        <f t="shared" si="37"/>
        <v>0</v>
      </c>
      <c r="AI122" s="33">
        <v>3.0</v>
      </c>
      <c r="AJ122" s="33">
        <v>5.0</v>
      </c>
      <c r="AK122" s="33">
        <v>5.0</v>
      </c>
      <c r="AL122" s="33">
        <v>5.0</v>
      </c>
    </row>
    <row r="123">
      <c r="A123" s="39"/>
      <c r="AH123" s="39"/>
      <c r="AI123" s="39"/>
      <c r="AJ123" s="39"/>
      <c r="AK123" s="39"/>
      <c r="AL123" s="39"/>
    </row>
    <row r="124">
      <c r="A124" s="40" t="str">
        <f>IFERROR(__xludf.DUMMYFUNCTION("""Gameweek "" &amp; (VALUE(REGEXEXTRACT(A104, ""Gameweek (\d+)"")) + 1)"),"Gameweek 7")</f>
        <v>Gameweek 7</v>
      </c>
      <c r="F124" s="40"/>
      <c r="G124" s="40"/>
      <c r="H124" s="41" t="str">
        <f>A124</f>
        <v>Gameweek 7</v>
      </c>
      <c r="K124" s="15" t="s">
        <v>21</v>
      </c>
      <c r="L124" s="15" t="s">
        <v>22</v>
      </c>
      <c r="M124" s="42" t="str">
        <f>A124</f>
        <v>Gameweek 7</v>
      </c>
      <c r="P124" s="16" t="s">
        <v>21</v>
      </c>
      <c r="Q124" s="16" t="s">
        <v>22</v>
      </c>
      <c r="R124" s="43" t="str">
        <f>A124</f>
        <v>Gameweek 7</v>
      </c>
      <c r="U124" s="17" t="s">
        <v>21</v>
      </c>
      <c r="V124" s="17" t="s">
        <v>22</v>
      </c>
      <c r="W124" s="44" t="str">
        <f>A124</f>
        <v>Gameweek 7</v>
      </c>
      <c r="Z124" s="18" t="s">
        <v>21</v>
      </c>
      <c r="AA124" s="18" t="s">
        <v>22</v>
      </c>
      <c r="AB124" s="45" t="str">
        <f>A124</f>
        <v>Gameweek 7</v>
      </c>
      <c r="AF124" s="19" t="s">
        <v>21</v>
      </c>
      <c r="AG124" s="19" t="s">
        <v>22</v>
      </c>
      <c r="AH124" s="19" t="s">
        <v>17</v>
      </c>
      <c r="AI124" s="19" t="s">
        <v>23</v>
      </c>
    </row>
    <row r="125">
      <c r="A125" s="47" t="str">
        <f>IFERROR(__xludf.DUMMYFUNCTION("IFERROR(ARRAYFORMULA(FLATTEN(SPLIT(REPT(TEXTJOIN("","", TRUE, FILTER({H$2, M$2, R$2}, {H125, M125, R125} &lt;&gt; """")) &amp; "","", CEILING(18 / COUNTA(FILTER({H$2, M$2, R$2}, {H125, M125, R125} &lt;&gt; """")))), "",""))), """")
"),"Blå")</f>
        <v>Blå</v>
      </c>
      <c r="B125" s="8">
        <v>1.0</v>
      </c>
      <c r="C125" s="8" t="str">
        <f t="shared" ref="C125:C142" si="38">IF(ISBLANK(A125), "", "-")
</f>
        <v>-</v>
      </c>
      <c r="D125" s="8">
        <v>1.0</v>
      </c>
      <c r="E125" s="48" t="str">
        <f t="array" ref="E125:E142">{A142; A125:A141}</f>
        <v>Grön</v>
      </c>
      <c r="F125" s="22" t="str">
        <f t="shared" ref="F125:F141" si="39">IF(AND(B125 &lt;&gt; "", D125 &lt;&gt; ""), IF(B125 &gt; D125, A125, IF(D125 &gt; B125, E125, "Oavgjort")), "")</f>
        <v>Oavgjort</v>
      </c>
      <c r="G125" s="22" t="str">
        <f t="shared" ref="G125:G141" si="40">IF(AND(B125 &lt;&gt; "", D125 &lt;&gt; ""), IF(B125 &lt; D125, A125, IF(D125 &lt; B125, E125, "Oavgjort")), "")
</f>
        <v>Oavgjort</v>
      </c>
      <c r="H125" s="38" t="s">
        <v>33</v>
      </c>
      <c r="I125" s="9">
        <v>1.0</v>
      </c>
      <c r="J125" s="9">
        <v>0.0</v>
      </c>
      <c r="K125" s="24">
        <f t="array" ref="K125:K142">IF(SEQUENCE(18, 1), COUNTIF(F125:F142, $H$2))
</f>
        <v>3</v>
      </c>
      <c r="L125" s="24">
        <f t="array" ref="L125:L142">IF(SEQUENCE(18, 1), COUNTIF(G125:G142, $H$2))
</f>
        <v>2</v>
      </c>
      <c r="M125" s="35" t="s">
        <v>45</v>
      </c>
      <c r="N125" s="10">
        <v>2.0</v>
      </c>
      <c r="O125" s="10">
        <v>0.0</v>
      </c>
      <c r="P125" s="26">
        <f t="array" ref="P125:P142">IF(SEQUENCE(18, 1), COUNTIF(F125:F142, $M$2))
</f>
        <v>2</v>
      </c>
      <c r="Q125" s="26">
        <f t="array" ref="Q125:Q142">IF(SEQUENCE(18, 1), COUNTIF(G125:G142, $M$2))
</f>
        <v>4</v>
      </c>
      <c r="R125" s="36" t="s">
        <v>53</v>
      </c>
      <c r="S125" s="11">
        <v>1.0</v>
      </c>
      <c r="T125" s="11">
        <v>0.0</v>
      </c>
      <c r="U125" s="28">
        <f t="array" ref="U125:U142">IF(SEQUENCE(18, 1), COUNTIF(F125:F142, $R$2))
</f>
        <v>3</v>
      </c>
      <c r="V125" s="28">
        <f t="array" ref="V125:V142">IF(SEQUENCE(18, 1), COUNTIF(G125:G142, $R$2))
</f>
        <v>2</v>
      </c>
      <c r="W125" s="50" t="s">
        <v>40</v>
      </c>
      <c r="X125" s="30">
        <v>0.0</v>
      </c>
      <c r="Y125" s="30">
        <v>3.0</v>
      </c>
      <c r="Z125" s="31">
        <f t="array" ref="Z125:Z142">IF(SEQUENCE(18, 1), COUNTIF(F125:F142, $W$2))
</f>
        <v>0</v>
      </c>
      <c r="AA125" s="31">
        <f t="array" ref="AA125:AA142">IF(SEQUENCE(18, 1), COUNTIF(G125:G142, $W$2))
</f>
        <v>0</v>
      </c>
      <c r="AB125" s="32" t="s">
        <v>9</v>
      </c>
      <c r="AC125" s="32"/>
      <c r="AD125" s="13">
        <v>0.0</v>
      </c>
      <c r="AE125" s="13">
        <v>0.0</v>
      </c>
      <c r="AF125" s="13">
        <f t="shared" ref="AF125:AF142" si="41">IF(AB125 = "Borta", AJ125, (IF(AB125 = "Hemma", AI125, 0)))</f>
        <v>7</v>
      </c>
      <c r="AG125" s="33">
        <f t="shared" ref="AG125:AG142" si="42">IF(AB125 = "Hemma", AJ125, (IF(AB125 = "Borta", AI125, 0)))</f>
        <v>1</v>
      </c>
      <c r="AH125" s="33">
        <f t="shared" ref="AH125:AH142" si="43">IF(AB125 = "Borta", AK125, (IF(AB125 = "Hemma", AL125, 0)))</f>
        <v>4</v>
      </c>
      <c r="AI125" s="33">
        <f t="array" ref="AI125:AI142">IF(F125 &lt;&gt; "",
     SEQUENCE(18,1,1,0)*SUM(IF(A125:A142 = F125:F142, 1, 0)),
     SEQUENCE(18,1,0,0)
  )</f>
        <v>7</v>
      </c>
      <c r="AJ125" s="33">
        <f t="array" ref="AJ125:AJ142">IF(G125 &lt;&gt; "",
     SEQUENCE(18,1,1,0)*SUM(IF(E125:E142 = F125:F142, 1, 0)),
     SEQUENCE(18,1,0,0)
  )</f>
        <v>1</v>
      </c>
      <c r="AK125" s="33">
        <f t="array" ref="AK125:AK142">IF(SEQUENCE(18, 1), COUNTIF(B125:B142, 0))</f>
        <v>2</v>
      </c>
      <c r="AL125" s="33">
        <f t="array" ref="AL125:AL142">IF(SEQUENCE(18, 1), COUNTIF(D125:D142, 0))</f>
        <v>4</v>
      </c>
    </row>
    <row r="126">
      <c r="A126" s="20" t="str">
        <f>IFERROR(__xludf.DUMMYFUNCTION("""COMPUTED_VALUE"""),"Rosa")</f>
        <v>Rosa</v>
      </c>
      <c r="B126" s="8">
        <v>0.0</v>
      </c>
      <c r="C126" s="8" t="str">
        <f t="shared" si="38"/>
        <v>-</v>
      </c>
      <c r="D126" s="8">
        <v>1.0</v>
      </c>
      <c r="E126" s="21" t="s">
        <v>2</v>
      </c>
      <c r="F126" s="22" t="str">
        <f t="shared" si="39"/>
        <v>Blå</v>
      </c>
      <c r="G126" s="22" t="str">
        <f t="shared" si="40"/>
        <v>Rosa</v>
      </c>
      <c r="H126" s="38" t="s">
        <v>25</v>
      </c>
      <c r="I126" s="9">
        <v>0.0</v>
      </c>
      <c r="J126" s="9">
        <v>1.0</v>
      </c>
      <c r="K126" s="24">
        <v>3.0</v>
      </c>
      <c r="L126" s="24">
        <v>2.0</v>
      </c>
      <c r="M126" s="35" t="s">
        <v>59</v>
      </c>
      <c r="N126" s="10">
        <v>0.0</v>
      </c>
      <c r="O126" s="10">
        <v>1.0</v>
      </c>
      <c r="P126" s="26">
        <v>2.0</v>
      </c>
      <c r="Q126" s="26">
        <v>4.0</v>
      </c>
      <c r="R126" s="36" t="s">
        <v>55</v>
      </c>
      <c r="S126" s="11">
        <v>2.0</v>
      </c>
      <c r="T126" s="11">
        <v>2.0</v>
      </c>
      <c r="U126" s="28">
        <v>3.0</v>
      </c>
      <c r="V126" s="28">
        <v>2.0</v>
      </c>
      <c r="W126" s="29"/>
      <c r="X126" s="30">
        <v>0.0</v>
      </c>
      <c r="Y126" s="30">
        <v>0.0</v>
      </c>
      <c r="Z126" s="31">
        <v>0.0</v>
      </c>
      <c r="AA126" s="31">
        <v>0.0</v>
      </c>
      <c r="AB126" s="32" t="s">
        <v>11</v>
      </c>
      <c r="AC126" s="32"/>
      <c r="AD126" s="13">
        <v>0.0</v>
      </c>
      <c r="AE126" s="13">
        <v>0.0</v>
      </c>
      <c r="AF126" s="13">
        <f t="shared" si="41"/>
        <v>1</v>
      </c>
      <c r="AG126" s="33">
        <f t="shared" si="42"/>
        <v>7</v>
      </c>
      <c r="AH126" s="33">
        <f t="shared" si="43"/>
        <v>2</v>
      </c>
      <c r="AI126" s="33">
        <v>7.0</v>
      </c>
      <c r="AJ126" s="33">
        <v>1.0</v>
      </c>
      <c r="AK126" s="33">
        <v>2.0</v>
      </c>
      <c r="AL126" s="33">
        <v>4.0</v>
      </c>
    </row>
    <row r="127">
      <c r="A127" s="20" t="str">
        <f>IFERROR(__xludf.DUMMYFUNCTION("""COMPUTED_VALUE"""),"Grön")</f>
        <v>Grön</v>
      </c>
      <c r="B127" s="8">
        <v>2.0</v>
      </c>
      <c r="C127" s="8" t="str">
        <f t="shared" si="38"/>
        <v>-</v>
      </c>
      <c r="D127" s="8">
        <v>0.0</v>
      </c>
      <c r="E127" s="21" t="s">
        <v>5</v>
      </c>
      <c r="F127" s="22" t="str">
        <f t="shared" si="39"/>
        <v>Grön</v>
      </c>
      <c r="G127" s="22" t="str">
        <f t="shared" si="40"/>
        <v>Rosa</v>
      </c>
      <c r="H127" s="38" t="s">
        <v>49</v>
      </c>
      <c r="I127" s="9">
        <v>2.0</v>
      </c>
      <c r="J127" s="9">
        <v>1.0</v>
      </c>
      <c r="K127" s="24">
        <v>3.0</v>
      </c>
      <c r="L127" s="24">
        <v>2.0</v>
      </c>
      <c r="M127" s="35" t="s">
        <v>51</v>
      </c>
      <c r="N127" s="10">
        <v>2.0</v>
      </c>
      <c r="O127" s="10">
        <v>4.0</v>
      </c>
      <c r="P127" s="26">
        <v>2.0</v>
      </c>
      <c r="Q127" s="26">
        <v>4.0</v>
      </c>
      <c r="R127" s="36" t="s">
        <v>58</v>
      </c>
      <c r="S127" s="11">
        <v>3.0</v>
      </c>
      <c r="T127" s="11">
        <v>6.0</v>
      </c>
      <c r="U127" s="28">
        <v>3.0</v>
      </c>
      <c r="V127" s="28">
        <v>2.0</v>
      </c>
      <c r="W127" s="29"/>
      <c r="X127" s="30">
        <v>0.0</v>
      </c>
      <c r="Y127" s="30">
        <v>0.0</v>
      </c>
      <c r="Z127" s="31">
        <v>0.0</v>
      </c>
      <c r="AA127" s="31">
        <v>0.0</v>
      </c>
      <c r="AB127" s="34"/>
      <c r="AF127" s="13">
        <f t="shared" si="41"/>
        <v>0</v>
      </c>
      <c r="AG127" s="33">
        <f t="shared" si="42"/>
        <v>0</v>
      </c>
      <c r="AH127" s="33">
        <f t="shared" si="43"/>
        <v>0</v>
      </c>
      <c r="AI127" s="33">
        <v>7.0</v>
      </c>
      <c r="AJ127" s="33">
        <v>1.0</v>
      </c>
      <c r="AK127" s="33">
        <v>2.0</v>
      </c>
      <c r="AL127" s="33">
        <v>4.0</v>
      </c>
    </row>
    <row r="128">
      <c r="A128" s="20" t="str">
        <f>IFERROR(__xludf.DUMMYFUNCTION("""COMPUTED_VALUE"""),"Blå")</f>
        <v>Blå</v>
      </c>
      <c r="B128" s="8">
        <v>1.0</v>
      </c>
      <c r="C128" s="8" t="str">
        <f t="shared" si="38"/>
        <v>-</v>
      </c>
      <c r="D128" s="8">
        <v>1.0</v>
      </c>
      <c r="E128" s="21" t="s">
        <v>6</v>
      </c>
      <c r="F128" s="22" t="str">
        <f t="shared" si="39"/>
        <v>Oavgjort</v>
      </c>
      <c r="G128" s="22" t="str">
        <f t="shared" si="40"/>
        <v>Oavgjort</v>
      </c>
      <c r="H128" s="38" t="s">
        <v>36</v>
      </c>
      <c r="I128" s="9">
        <v>2.0</v>
      </c>
      <c r="J128" s="9">
        <v>5.0</v>
      </c>
      <c r="K128" s="24">
        <v>3.0</v>
      </c>
      <c r="L128" s="24">
        <v>2.0</v>
      </c>
      <c r="M128" s="35" t="s">
        <v>52</v>
      </c>
      <c r="N128" s="10">
        <v>2.0</v>
      </c>
      <c r="O128" s="10">
        <v>1.0</v>
      </c>
      <c r="P128" s="26">
        <v>2.0</v>
      </c>
      <c r="Q128" s="26">
        <v>4.0</v>
      </c>
      <c r="R128" s="36" t="s">
        <v>34</v>
      </c>
      <c r="S128" s="11">
        <v>4.0</v>
      </c>
      <c r="T128" s="11">
        <v>1.0</v>
      </c>
      <c r="U128" s="28">
        <v>3.0</v>
      </c>
      <c r="V128" s="28">
        <v>2.0</v>
      </c>
      <c r="W128" s="29"/>
      <c r="X128" s="30">
        <v>0.0</v>
      </c>
      <c r="Y128" s="30">
        <v>0.0</v>
      </c>
      <c r="Z128" s="31">
        <v>0.0</v>
      </c>
      <c r="AA128" s="31">
        <v>0.0</v>
      </c>
      <c r="AF128" s="13">
        <f t="shared" si="41"/>
        <v>0</v>
      </c>
      <c r="AG128" s="33">
        <f t="shared" si="42"/>
        <v>0</v>
      </c>
      <c r="AH128" s="33">
        <f t="shared" si="43"/>
        <v>0</v>
      </c>
      <c r="AI128" s="33">
        <v>7.0</v>
      </c>
      <c r="AJ128" s="33">
        <v>1.0</v>
      </c>
      <c r="AK128" s="33">
        <v>2.0</v>
      </c>
      <c r="AL128" s="33">
        <v>4.0</v>
      </c>
    </row>
    <row r="129">
      <c r="A129" s="20" t="str">
        <f>IFERROR(__xludf.DUMMYFUNCTION("""COMPUTED_VALUE"""),"Rosa")</f>
        <v>Rosa</v>
      </c>
      <c r="B129" s="8">
        <v>0.0</v>
      </c>
      <c r="C129" s="8" t="str">
        <f t="shared" si="38"/>
        <v>-</v>
      </c>
      <c r="D129" s="8">
        <v>0.0</v>
      </c>
      <c r="E129" s="21" t="s">
        <v>2</v>
      </c>
      <c r="F129" s="22" t="str">
        <f t="shared" si="39"/>
        <v>Oavgjort</v>
      </c>
      <c r="G129" s="22" t="str">
        <f t="shared" si="40"/>
        <v>Oavgjort</v>
      </c>
      <c r="H129" s="38" t="s">
        <v>35</v>
      </c>
      <c r="I129" s="9">
        <v>5.0</v>
      </c>
      <c r="J129" s="9">
        <v>3.0</v>
      </c>
      <c r="K129" s="24">
        <v>3.0</v>
      </c>
      <c r="L129" s="24">
        <v>2.0</v>
      </c>
      <c r="M129" s="25" t="s">
        <v>26</v>
      </c>
      <c r="N129" s="10">
        <v>2.0</v>
      </c>
      <c r="O129" s="10">
        <v>2.0</v>
      </c>
      <c r="P129" s="26">
        <v>2.0</v>
      </c>
      <c r="Q129" s="26">
        <v>4.0</v>
      </c>
      <c r="R129" s="27" t="s">
        <v>44</v>
      </c>
      <c r="S129" s="11">
        <v>3.0</v>
      </c>
      <c r="T129" s="11">
        <v>2.0</v>
      </c>
      <c r="U129" s="28">
        <v>3.0</v>
      </c>
      <c r="V129" s="28">
        <v>2.0</v>
      </c>
      <c r="W129" s="29"/>
      <c r="X129" s="30">
        <v>0.0</v>
      </c>
      <c r="Y129" s="30">
        <v>0.0</v>
      </c>
      <c r="Z129" s="31">
        <v>0.0</v>
      </c>
      <c r="AA129" s="31">
        <v>0.0</v>
      </c>
      <c r="AF129" s="13">
        <f t="shared" si="41"/>
        <v>0</v>
      </c>
      <c r="AG129" s="33">
        <f t="shared" si="42"/>
        <v>0</v>
      </c>
      <c r="AH129" s="33">
        <f t="shared" si="43"/>
        <v>0</v>
      </c>
      <c r="AI129" s="33">
        <v>7.0</v>
      </c>
      <c r="AJ129" s="33">
        <v>1.0</v>
      </c>
      <c r="AK129" s="33">
        <v>2.0</v>
      </c>
      <c r="AL129" s="33">
        <v>4.0</v>
      </c>
    </row>
    <row r="130">
      <c r="A130" s="20" t="str">
        <f>IFERROR(__xludf.DUMMYFUNCTION("""COMPUTED_VALUE"""),"Grön")</f>
        <v>Grön</v>
      </c>
      <c r="B130" s="8">
        <v>2.0</v>
      </c>
      <c r="C130" s="8" t="str">
        <f t="shared" si="38"/>
        <v>-</v>
      </c>
      <c r="D130" s="8">
        <v>0.0</v>
      </c>
      <c r="E130" s="21" t="s">
        <v>5</v>
      </c>
      <c r="F130" s="22" t="str">
        <f t="shared" si="39"/>
        <v>Grön</v>
      </c>
      <c r="G130" s="22" t="str">
        <f t="shared" si="40"/>
        <v>Rosa</v>
      </c>
      <c r="H130" s="38"/>
      <c r="I130" s="9">
        <v>0.0</v>
      </c>
      <c r="J130" s="9">
        <v>0.0</v>
      </c>
      <c r="K130" s="24">
        <v>3.0</v>
      </c>
      <c r="L130" s="24">
        <v>2.0</v>
      </c>
      <c r="M130" s="35"/>
      <c r="N130" s="10">
        <v>0.0</v>
      </c>
      <c r="O130" s="10">
        <v>0.0</v>
      </c>
      <c r="P130" s="26">
        <v>2.0</v>
      </c>
      <c r="Q130" s="26">
        <v>4.0</v>
      </c>
      <c r="R130" s="36"/>
      <c r="S130" s="11">
        <v>0.0</v>
      </c>
      <c r="T130" s="11">
        <v>0.0</v>
      </c>
      <c r="U130" s="28">
        <v>3.0</v>
      </c>
      <c r="V130" s="28">
        <v>2.0</v>
      </c>
      <c r="W130" s="29"/>
      <c r="X130" s="30">
        <v>0.0</v>
      </c>
      <c r="Y130" s="30">
        <v>0.0</v>
      </c>
      <c r="Z130" s="31">
        <v>0.0</v>
      </c>
      <c r="AA130" s="31">
        <v>0.0</v>
      </c>
      <c r="AF130" s="13">
        <f t="shared" si="41"/>
        <v>0</v>
      </c>
      <c r="AG130" s="33">
        <f t="shared" si="42"/>
        <v>0</v>
      </c>
      <c r="AH130" s="33">
        <f t="shared" si="43"/>
        <v>0</v>
      </c>
      <c r="AI130" s="33">
        <v>7.0</v>
      </c>
      <c r="AJ130" s="33">
        <v>1.0</v>
      </c>
      <c r="AK130" s="33">
        <v>2.0</v>
      </c>
      <c r="AL130" s="33">
        <v>4.0</v>
      </c>
    </row>
    <row r="131">
      <c r="A131" s="20" t="str">
        <f>IFERROR(__xludf.DUMMYFUNCTION("""COMPUTED_VALUE"""),"Blå")</f>
        <v>Blå</v>
      </c>
      <c r="B131" s="8">
        <v>3.0</v>
      </c>
      <c r="C131" s="8" t="str">
        <f t="shared" si="38"/>
        <v>-</v>
      </c>
      <c r="D131" s="8">
        <v>2.0</v>
      </c>
      <c r="E131" s="21" t="s">
        <v>6</v>
      </c>
      <c r="F131" s="22" t="str">
        <f t="shared" si="39"/>
        <v>Blå</v>
      </c>
      <c r="G131" s="22" t="str">
        <f t="shared" si="40"/>
        <v>Grön</v>
      </c>
      <c r="H131" s="23"/>
      <c r="I131" s="9">
        <v>0.0</v>
      </c>
      <c r="J131" s="9">
        <v>0.0</v>
      </c>
      <c r="K131" s="24">
        <v>3.0</v>
      </c>
      <c r="L131" s="24">
        <v>2.0</v>
      </c>
      <c r="M131" s="35"/>
      <c r="N131" s="10">
        <v>0.0</v>
      </c>
      <c r="O131" s="10">
        <v>0.0</v>
      </c>
      <c r="P131" s="26">
        <v>2.0</v>
      </c>
      <c r="Q131" s="26">
        <v>4.0</v>
      </c>
      <c r="R131" s="36"/>
      <c r="S131" s="11">
        <v>0.0</v>
      </c>
      <c r="T131" s="11">
        <v>0.0</v>
      </c>
      <c r="U131" s="28">
        <v>3.0</v>
      </c>
      <c r="V131" s="28">
        <v>2.0</v>
      </c>
      <c r="W131" s="29"/>
      <c r="X131" s="30">
        <v>0.0</v>
      </c>
      <c r="Y131" s="30">
        <v>0.0</v>
      </c>
      <c r="Z131" s="31">
        <v>0.0</v>
      </c>
      <c r="AA131" s="31">
        <v>0.0</v>
      </c>
      <c r="AF131" s="13">
        <f t="shared" si="41"/>
        <v>0</v>
      </c>
      <c r="AG131" s="33">
        <f t="shared" si="42"/>
        <v>0</v>
      </c>
      <c r="AH131" s="33">
        <f t="shared" si="43"/>
        <v>0</v>
      </c>
      <c r="AI131" s="33">
        <v>7.0</v>
      </c>
      <c r="AJ131" s="33">
        <v>1.0</v>
      </c>
      <c r="AK131" s="33">
        <v>2.0</v>
      </c>
      <c r="AL131" s="33">
        <v>4.0</v>
      </c>
    </row>
    <row r="132">
      <c r="A132" s="20" t="str">
        <f>IFERROR(__xludf.DUMMYFUNCTION("""COMPUTED_VALUE"""),"Rosa")</f>
        <v>Rosa</v>
      </c>
      <c r="B132" s="8">
        <v>4.0</v>
      </c>
      <c r="C132" s="8" t="str">
        <f t="shared" si="38"/>
        <v>-</v>
      </c>
      <c r="D132" s="8">
        <v>1.0</v>
      </c>
      <c r="E132" s="21" t="s">
        <v>2</v>
      </c>
      <c r="F132" s="22" t="str">
        <f t="shared" si="39"/>
        <v>Rosa</v>
      </c>
      <c r="G132" s="22" t="str">
        <f t="shared" si="40"/>
        <v>Blå</v>
      </c>
      <c r="H132" s="38"/>
      <c r="K132" s="24">
        <v>3.0</v>
      </c>
      <c r="L132" s="24">
        <v>2.0</v>
      </c>
      <c r="M132" s="35"/>
      <c r="P132" s="26">
        <v>2.0</v>
      </c>
      <c r="Q132" s="26">
        <v>4.0</v>
      </c>
      <c r="R132" s="36"/>
      <c r="U132" s="28">
        <v>3.0</v>
      </c>
      <c r="V132" s="28">
        <v>2.0</v>
      </c>
      <c r="W132" s="37"/>
      <c r="Z132" s="31">
        <v>0.0</v>
      </c>
      <c r="AA132" s="31">
        <v>0.0</v>
      </c>
      <c r="AF132" s="13">
        <f t="shared" si="41"/>
        <v>0</v>
      </c>
      <c r="AG132" s="33">
        <f t="shared" si="42"/>
        <v>0</v>
      </c>
      <c r="AH132" s="33">
        <f t="shared" si="43"/>
        <v>0</v>
      </c>
      <c r="AI132" s="33">
        <v>7.0</v>
      </c>
      <c r="AJ132" s="33">
        <v>1.0</v>
      </c>
      <c r="AK132" s="33">
        <v>2.0</v>
      </c>
      <c r="AL132" s="33">
        <v>4.0</v>
      </c>
    </row>
    <row r="133">
      <c r="A133" s="20" t="str">
        <f>IFERROR(__xludf.DUMMYFUNCTION("""COMPUTED_VALUE"""),"Grön")</f>
        <v>Grön</v>
      </c>
      <c r="B133" s="8">
        <v>1.0</v>
      </c>
      <c r="C133" s="8" t="str">
        <f t="shared" si="38"/>
        <v>-</v>
      </c>
      <c r="D133" s="8">
        <v>0.0</v>
      </c>
      <c r="E133" s="21" t="s">
        <v>5</v>
      </c>
      <c r="F133" s="22" t="str">
        <f t="shared" si="39"/>
        <v>Grön</v>
      </c>
      <c r="G133" s="22" t="str">
        <f t="shared" si="40"/>
        <v>Rosa</v>
      </c>
      <c r="K133" s="24">
        <v>3.0</v>
      </c>
      <c r="L133" s="24">
        <v>2.0</v>
      </c>
      <c r="P133" s="26">
        <v>2.0</v>
      </c>
      <c r="Q133" s="26">
        <v>4.0</v>
      </c>
      <c r="U133" s="28">
        <v>3.0</v>
      </c>
      <c r="V133" s="28">
        <v>2.0</v>
      </c>
      <c r="Z133" s="31">
        <v>0.0</v>
      </c>
      <c r="AA133" s="31">
        <v>0.0</v>
      </c>
      <c r="AF133" s="13">
        <f t="shared" si="41"/>
        <v>0</v>
      </c>
      <c r="AG133" s="33">
        <f t="shared" si="42"/>
        <v>0</v>
      </c>
      <c r="AH133" s="33">
        <f t="shared" si="43"/>
        <v>0</v>
      </c>
      <c r="AI133" s="33">
        <v>7.0</v>
      </c>
      <c r="AJ133" s="33">
        <v>1.0</v>
      </c>
      <c r="AK133" s="33">
        <v>2.0</v>
      </c>
      <c r="AL133" s="33">
        <v>4.0</v>
      </c>
    </row>
    <row r="134">
      <c r="A134" s="20" t="str">
        <f>IFERROR(__xludf.DUMMYFUNCTION("""COMPUTED_VALUE"""),"Blå")</f>
        <v>Blå</v>
      </c>
      <c r="B134" s="8">
        <v>1.0</v>
      </c>
      <c r="C134" s="8" t="str">
        <f t="shared" si="38"/>
        <v>-</v>
      </c>
      <c r="D134" s="8">
        <v>1.0</v>
      </c>
      <c r="E134" s="21" t="s">
        <v>6</v>
      </c>
      <c r="F134" s="22" t="str">
        <f t="shared" si="39"/>
        <v>Oavgjort</v>
      </c>
      <c r="G134" s="22" t="str">
        <f t="shared" si="40"/>
        <v>Oavgjort</v>
      </c>
      <c r="K134" s="24">
        <v>3.0</v>
      </c>
      <c r="L134" s="24">
        <v>2.0</v>
      </c>
      <c r="P134" s="26">
        <v>2.0</v>
      </c>
      <c r="Q134" s="26">
        <v>4.0</v>
      </c>
      <c r="U134" s="28">
        <v>3.0</v>
      </c>
      <c r="V134" s="28">
        <v>2.0</v>
      </c>
      <c r="Z134" s="31">
        <v>0.0</v>
      </c>
      <c r="AA134" s="31">
        <v>0.0</v>
      </c>
      <c r="AF134" s="13">
        <f t="shared" si="41"/>
        <v>0</v>
      </c>
      <c r="AG134" s="33">
        <f t="shared" si="42"/>
        <v>0</v>
      </c>
      <c r="AH134" s="33">
        <f t="shared" si="43"/>
        <v>0</v>
      </c>
      <c r="AI134" s="33">
        <v>7.0</v>
      </c>
      <c r="AJ134" s="33">
        <v>1.0</v>
      </c>
      <c r="AK134" s="33">
        <v>2.0</v>
      </c>
      <c r="AL134" s="33">
        <v>4.0</v>
      </c>
    </row>
    <row r="135">
      <c r="A135" s="20" t="str">
        <f>IFERROR(__xludf.DUMMYFUNCTION("""COMPUTED_VALUE"""),"Rosa")</f>
        <v>Rosa</v>
      </c>
      <c r="B135" s="8">
        <v>2.0</v>
      </c>
      <c r="C135" s="8" t="str">
        <f t="shared" si="38"/>
        <v>-</v>
      </c>
      <c r="D135" s="8">
        <v>1.0</v>
      </c>
      <c r="E135" s="21" t="s">
        <v>2</v>
      </c>
      <c r="F135" s="22" t="str">
        <f t="shared" si="39"/>
        <v>Rosa</v>
      </c>
      <c r="G135" s="22" t="str">
        <f t="shared" si="40"/>
        <v>Blå</v>
      </c>
      <c r="K135" s="24">
        <v>3.0</v>
      </c>
      <c r="L135" s="24">
        <v>2.0</v>
      </c>
      <c r="P135" s="26">
        <v>2.0</v>
      </c>
      <c r="Q135" s="26">
        <v>4.0</v>
      </c>
      <c r="U135" s="28">
        <v>3.0</v>
      </c>
      <c r="V135" s="28">
        <v>2.0</v>
      </c>
      <c r="Z135" s="31">
        <v>0.0</v>
      </c>
      <c r="AA135" s="31">
        <v>0.0</v>
      </c>
      <c r="AF135" s="13">
        <f t="shared" si="41"/>
        <v>0</v>
      </c>
      <c r="AG135" s="33">
        <f t="shared" si="42"/>
        <v>0</v>
      </c>
      <c r="AH135" s="33">
        <f t="shared" si="43"/>
        <v>0</v>
      </c>
      <c r="AI135" s="33">
        <v>7.0</v>
      </c>
      <c r="AJ135" s="33">
        <v>1.0</v>
      </c>
      <c r="AK135" s="33">
        <v>2.0</v>
      </c>
      <c r="AL135" s="33">
        <v>4.0</v>
      </c>
    </row>
    <row r="136">
      <c r="A136" s="20" t="str">
        <f>IFERROR(__xludf.DUMMYFUNCTION("""COMPUTED_VALUE"""),"Grön")</f>
        <v>Grön</v>
      </c>
      <c r="B136" s="8">
        <v>2.0</v>
      </c>
      <c r="C136" s="8" t="str">
        <f t="shared" si="38"/>
        <v>-</v>
      </c>
      <c r="D136" s="8">
        <v>2.0</v>
      </c>
      <c r="E136" s="21" t="s">
        <v>5</v>
      </c>
      <c r="F136" s="22" t="str">
        <f t="shared" si="39"/>
        <v>Oavgjort</v>
      </c>
      <c r="G136" s="22" t="str">
        <f t="shared" si="40"/>
        <v>Oavgjort</v>
      </c>
      <c r="K136" s="24">
        <v>3.0</v>
      </c>
      <c r="L136" s="24">
        <v>2.0</v>
      </c>
      <c r="P136" s="26">
        <v>2.0</v>
      </c>
      <c r="Q136" s="26">
        <v>4.0</v>
      </c>
      <c r="U136" s="28">
        <v>3.0</v>
      </c>
      <c r="V136" s="28">
        <v>2.0</v>
      </c>
      <c r="Z136" s="31">
        <v>0.0</v>
      </c>
      <c r="AA136" s="31">
        <v>0.0</v>
      </c>
      <c r="AF136" s="13">
        <f t="shared" si="41"/>
        <v>0</v>
      </c>
      <c r="AG136" s="33">
        <f t="shared" si="42"/>
        <v>0</v>
      </c>
      <c r="AH136" s="33">
        <f t="shared" si="43"/>
        <v>0</v>
      </c>
      <c r="AI136" s="33">
        <v>7.0</v>
      </c>
      <c r="AJ136" s="33">
        <v>1.0</v>
      </c>
      <c r="AK136" s="33">
        <v>2.0</v>
      </c>
      <c r="AL136" s="33">
        <v>4.0</v>
      </c>
    </row>
    <row r="137">
      <c r="A137" s="20" t="str">
        <f>IFERROR(__xludf.DUMMYFUNCTION("""COMPUTED_VALUE"""),"Blå")</f>
        <v>Blå</v>
      </c>
      <c r="B137" s="8">
        <v>2.0</v>
      </c>
      <c r="C137" s="8" t="str">
        <f t="shared" si="38"/>
        <v>-</v>
      </c>
      <c r="D137" s="8">
        <v>1.0</v>
      </c>
      <c r="E137" s="21" t="s">
        <v>6</v>
      </c>
      <c r="F137" s="22" t="str">
        <f t="shared" si="39"/>
        <v>Blå</v>
      </c>
      <c r="G137" s="22" t="str">
        <f t="shared" si="40"/>
        <v>Grön</v>
      </c>
      <c r="K137" s="24">
        <v>3.0</v>
      </c>
      <c r="L137" s="24">
        <v>2.0</v>
      </c>
      <c r="P137" s="26">
        <v>2.0</v>
      </c>
      <c r="Q137" s="26">
        <v>4.0</v>
      </c>
      <c r="U137" s="28">
        <v>3.0</v>
      </c>
      <c r="V137" s="28">
        <v>2.0</v>
      </c>
      <c r="Z137" s="31">
        <v>0.0</v>
      </c>
      <c r="AA137" s="31">
        <v>0.0</v>
      </c>
      <c r="AF137" s="13">
        <f t="shared" si="41"/>
        <v>0</v>
      </c>
      <c r="AG137" s="33">
        <f t="shared" si="42"/>
        <v>0</v>
      </c>
      <c r="AH137" s="33">
        <f t="shared" si="43"/>
        <v>0</v>
      </c>
      <c r="AI137" s="33">
        <v>7.0</v>
      </c>
      <c r="AJ137" s="33">
        <v>1.0</v>
      </c>
      <c r="AK137" s="33">
        <v>2.0</v>
      </c>
      <c r="AL137" s="33">
        <v>4.0</v>
      </c>
    </row>
    <row r="138">
      <c r="A138" s="20" t="str">
        <f>IFERROR(__xludf.DUMMYFUNCTION("""COMPUTED_VALUE"""),"Rosa")</f>
        <v>Rosa</v>
      </c>
      <c r="B138" s="8"/>
      <c r="C138" s="8" t="str">
        <f t="shared" si="38"/>
        <v>-</v>
      </c>
      <c r="D138" s="8"/>
      <c r="E138" s="21" t="s">
        <v>2</v>
      </c>
      <c r="F138" s="22" t="str">
        <f t="shared" si="39"/>
        <v/>
      </c>
      <c r="G138" s="22" t="str">
        <f t="shared" si="40"/>
        <v/>
      </c>
      <c r="K138" s="24">
        <v>3.0</v>
      </c>
      <c r="L138" s="24">
        <v>2.0</v>
      </c>
      <c r="P138" s="26">
        <v>2.0</v>
      </c>
      <c r="Q138" s="26">
        <v>4.0</v>
      </c>
      <c r="U138" s="28">
        <v>3.0</v>
      </c>
      <c r="V138" s="28">
        <v>2.0</v>
      </c>
      <c r="Z138" s="31">
        <v>0.0</v>
      </c>
      <c r="AA138" s="31">
        <v>0.0</v>
      </c>
      <c r="AF138" s="13">
        <f t="shared" si="41"/>
        <v>0</v>
      </c>
      <c r="AG138" s="33">
        <f t="shared" si="42"/>
        <v>0</v>
      </c>
      <c r="AH138" s="33">
        <f t="shared" si="43"/>
        <v>0</v>
      </c>
      <c r="AI138" s="33">
        <v>7.0</v>
      </c>
      <c r="AJ138" s="33">
        <v>1.0</v>
      </c>
      <c r="AK138" s="33">
        <v>2.0</v>
      </c>
      <c r="AL138" s="33">
        <v>4.0</v>
      </c>
    </row>
    <row r="139">
      <c r="A139" s="20" t="str">
        <f>IFERROR(__xludf.DUMMYFUNCTION("""COMPUTED_VALUE"""),"Grön")</f>
        <v>Grön</v>
      </c>
      <c r="B139" s="8"/>
      <c r="C139" s="8" t="str">
        <f t="shared" si="38"/>
        <v>-</v>
      </c>
      <c r="D139" s="8"/>
      <c r="E139" s="21" t="s">
        <v>5</v>
      </c>
      <c r="F139" s="22" t="str">
        <f t="shared" si="39"/>
        <v/>
      </c>
      <c r="G139" s="22" t="str">
        <f t="shared" si="40"/>
        <v/>
      </c>
      <c r="K139" s="24">
        <v>3.0</v>
      </c>
      <c r="L139" s="24">
        <v>2.0</v>
      </c>
      <c r="P139" s="26">
        <v>2.0</v>
      </c>
      <c r="Q139" s="26">
        <v>4.0</v>
      </c>
      <c r="U139" s="28">
        <v>3.0</v>
      </c>
      <c r="V139" s="28">
        <v>2.0</v>
      </c>
      <c r="Z139" s="31">
        <v>0.0</v>
      </c>
      <c r="AA139" s="31">
        <v>0.0</v>
      </c>
      <c r="AF139" s="13">
        <f t="shared" si="41"/>
        <v>0</v>
      </c>
      <c r="AG139" s="33">
        <f t="shared" si="42"/>
        <v>0</v>
      </c>
      <c r="AH139" s="33">
        <f t="shared" si="43"/>
        <v>0</v>
      </c>
      <c r="AI139" s="33">
        <v>7.0</v>
      </c>
      <c r="AJ139" s="33">
        <v>1.0</v>
      </c>
      <c r="AK139" s="33">
        <v>2.0</v>
      </c>
      <c r="AL139" s="33">
        <v>4.0</v>
      </c>
    </row>
    <row r="140">
      <c r="A140" s="20" t="str">
        <f>IFERROR(__xludf.DUMMYFUNCTION("""COMPUTED_VALUE"""),"Blå")</f>
        <v>Blå</v>
      </c>
      <c r="B140" s="8"/>
      <c r="C140" s="8" t="str">
        <f t="shared" si="38"/>
        <v>-</v>
      </c>
      <c r="D140" s="22"/>
      <c r="E140" s="21" t="s">
        <v>6</v>
      </c>
      <c r="F140" s="22" t="str">
        <f t="shared" si="39"/>
        <v/>
      </c>
      <c r="G140" s="22" t="str">
        <f t="shared" si="40"/>
        <v/>
      </c>
      <c r="K140" s="24">
        <v>3.0</v>
      </c>
      <c r="L140" s="24">
        <v>2.0</v>
      </c>
      <c r="P140" s="26">
        <v>2.0</v>
      </c>
      <c r="Q140" s="26">
        <v>4.0</v>
      </c>
      <c r="U140" s="28">
        <v>3.0</v>
      </c>
      <c r="V140" s="28">
        <v>2.0</v>
      </c>
      <c r="Z140" s="31">
        <v>0.0</v>
      </c>
      <c r="AA140" s="31">
        <v>0.0</v>
      </c>
      <c r="AF140" s="13">
        <f t="shared" si="41"/>
        <v>0</v>
      </c>
      <c r="AG140" s="33">
        <f t="shared" si="42"/>
        <v>0</v>
      </c>
      <c r="AH140" s="33">
        <f t="shared" si="43"/>
        <v>0</v>
      </c>
      <c r="AI140" s="33">
        <v>7.0</v>
      </c>
      <c r="AJ140" s="33">
        <v>1.0</v>
      </c>
      <c r="AK140" s="33">
        <v>2.0</v>
      </c>
      <c r="AL140" s="33">
        <v>4.0</v>
      </c>
    </row>
    <row r="141">
      <c r="A141" s="39" t="str">
        <f>IFERROR(__xludf.DUMMYFUNCTION("""COMPUTED_VALUE"""),"Rosa")</f>
        <v>Rosa</v>
      </c>
      <c r="B141" s="8"/>
      <c r="C141" s="8" t="str">
        <f t="shared" si="38"/>
        <v>-</v>
      </c>
      <c r="D141" s="8"/>
      <c r="E141" s="46" t="s">
        <v>2</v>
      </c>
      <c r="F141" s="22" t="str">
        <f t="shared" si="39"/>
        <v/>
      </c>
      <c r="G141" s="22" t="str">
        <f t="shared" si="40"/>
        <v/>
      </c>
      <c r="K141" s="24">
        <v>3.0</v>
      </c>
      <c r="L141" s="24">
        <v>2.0</v>
      </c>
      <c r="P141" s="26">
        <v>2.0</v>
      </c>
      <c r="Q141" s="26">
        <v>4.0</v>
      </c>
      <c r="U141" s="28">
        <v>3.0</v>
      </c>
      <c r="V141" s="28">
        <v>2.0</v>
      </c>
      <c r="Z141" s="31">
        <v>0.0</v>
      </c>
      <c r="AA141" s="31">
        <v>0.0</v>
      </c>
      <c r="AF141" s="13">
        <f t="shared" si="41"/>
        <v>0</v>
      </c>
      <c r="AG141" s="33">
        <f t="shared" si="42"/>
        <v>0</v>
      </c>
      <c r="AH141" s="33">
        <f t="shared" si="43"/>
        <v>0</v>
      </c>
      <c r="AI141" s="33">
        <v>7.0</v>
      </c>
      <c r="AJ141" s="33">
        <v>1.0</v>
      </c>
      <c r="AK141" s="33">
        <v>2.0</v>
      </c>
      <c r="AL141" s="33">
        <v>4.0</v>
      </c>
    </row>
    <row r="142">
      <c r="A142" s="39" t="str">
        <f>IFERROR(__xludf.DUMMYFUNCTION("""COMPUTED_VALUE"""),"Grön")</f>
        <v>Grön</v>
      </c>
      <c r="B142" s="22"/>
      <c r="C142" s="8" t="str">
        <f t="shared" si="38"/>
        <v>-</v>
      </c>
      <c r="D142" s="22"/>
      <c r="E142" s="46" t="s">
        <v>5</v>
      </c>
      <c r="F142" s="22"/>
      <c r="G142" s="22"/>
      <c r="K142" s="24">
        <v>3.0</v>
      </c>
      <c r="L142" s="24">
        <v>2.0</v>
      </c>
      <c r="P142" s="26">
        <v>2.0</v>
      </c>
      <c r="Q142" s="26">
        <v>4.0</v>
      </c>
      <c r="U142" s="28">
        <v>3.0</v>
      </c>
      <c r="V142" s="28">
        <v>2.0</v>
      </c>
      <c r="Z142" s="31">
        <v>0.0</v>
      </c>
      <c r="AA142" s="31">
        <v>0.0</v>
      </c>
      <c r="AF142" s="13">
        <f t="shared" si="41"/>
        <v>0</v>
      </c>
      <c r="AG142" s="33">
        <f t="shared" si="42"/>
        <v>0</v>
      </c>
      <c r="AH142" s="33">
        <f t="shared" si="43"/>
        <v>0</v>
      </c>
      <c r="AI142" s="33">
        <v>7.0</v>
      </c>
      <c r="AJ142" s="33">
        <v>1.0</v>
      </c>
      <c r="AK142" s="33">
        <v>2.0</v>
      </c>
      <c r="AL142" s="33">
        <v>4.0</v>
      </c>
    </row>
    <row r="143">
      <c r="A143" s="39"/>
      <c r="AH143" s="39"/>
      <c r="AI143" s="39"/>
      <c r="AJ143" s="39"/>
      <c r="AK143" s="39"/>
      <c r="AL143" s="39"/>
    </row>
    <row r="144">
      <c r="A144" s="40" t="str">
        <f>IFERROR(__xludf.DUMMYFUNCTION("""Gameweek "" &amp; (VALUE(REGEXEXTRACT(A124, ""Gameweek (\d+)"")) + 1)"),"Gameweek 8")</f>
        <v>Gameweek 8</v>
      </c>
      <c r="F144" s="40"/>
      <c r="G144" s="40"/>
      <c r="H144" s="41" t="str">
        <f>A144</f>
        <v>Gameweek 8</v>
      </c>
      <c r="K144" s="15" t="s">
        <v>21</v>
      </c>
      <c r="L144" s="15" t="s">
        <v>22</v>
      </c>
      <c r="M144" s="42" t="str">
        <f>A144</f>
        <v>Gameweek 8</v>
      </c>
      <c r="P144" s="16" t="s">
        <v>21</v>
      </c>
      <c r="Q144" s="16" t="s">
        <v>22</v>
      </c>
      <c r="R144" s="43" t="str">
        <f>A144</f>
        <v>Gameweek 8</v>
      </c>
      <c r="U144" s="17" t="s">
        <v>21</v>
      </c>
      <c r="V144" s="17" t="s">
        <v>22</v>
      </c>
      <c r="W144" s="44" t="str">
        <f>A144</f>
        <v>Gameweek 8</v>
      </c>
      <c r="Z144" s="18" t="s">
        <v>21</v>
      </c>
      <c r="AA144" s="18" t="s">
        <v>22</v>
      </c>
      <c r="AB144" s="45" t="str">
        <f>A144</f>
        <v>Gameweek 8</v>
      </c>
      <c r="AF144" s="19" t="s">
        <v>21</v>
      </c>
      <c r="AG144" s="19" t="s">
        <v>22</v>
      </c>
      <c r="AH144" s="19" t="s">
        <v>17</v>
      </c>
      <c r="AI144" s="19" t="s">
        <v>23</v>
      </c>
    </row>
    <row r="145">
      <c r="A145" s="47" t="str">
        <f>IFERROR(__xludf.DUMMYFUNCTION("IFERROR(ARRAYFORMULA(FLATTEN(SPLIT(REPT(TEXTJOIN("","", TRUE, FILTER({H$2, M$2, R$2}, {H145, M145, R145} &lt;&gt; """")) &amp; "","", CEILING(18 / COUNTA(FILTER({H$2, M$2, R$2}, {H145, M145, R145} &lt;&gt; """")))), "",""))), """")
"),"Blå")</f>
        <v>Blå</v>
      </c>
      <c r="B145" s="8">
        <v>1.0</v>
      </c>
      <c r="C145" s="8" t="str">
        <f t="shared" ref="C145:C162" si="44">IF(ISBLANK(A145), "", "-")
</f>
        <v>-</v>
      </c>
      <c r="D145" s="8">
        <v>0.0</v>
      </c>
      <c r="E145" s="48" t="str">
        <f t="array" ref="E145:E162">{A162; A145:A161}</f>
        <v>Grön</v>
      </c>
      <c r="F145" s="22" t="str">
        <f t="shared" ref="F145:F161" si="45">IF(AND(B145 &lt;&gt; "", D145 &lt;&gt; ""), IF(B145 &gt; D145, A145, IF(D145 &gt; B145, E145, "Oavgjort")), "")</f>
        <v>Blå</v>
      </c>
      <c r="G145" s="22" t="str">
        <f t="shared" ref="G145:G161" si="46">IF(AND(B145 &lt;&gt; "", D145 &lt;&gt; ""), IF(B145 &lt; D145, A145, IF(D145 &lt; B145, E145, "Oavgjort")), "")
</f>
        <v>Grön</v>
      </c>
      <c r="H145" s="38" t="s">
        <v>25</v>
      </c>
      <c r="I145" s="9">
        <v>4.0</v>
      </c>
      <c r="J145" s="9">
        <v>0.0</v>
      </c>
      <c r="K145" s="24">
        <f t="array" ref="K145:K162">IF(SEQUENCE(18, 1), COUNTIF(F145:F162, $H$2))
</f>
        <v>3</v>
      </c>
      <c r="L145" s="24">
        <f t="array" ref="L145:L162">IF(SEQUENCE(18, 1), COUNTIF(G145:G162, $H$2))
</f>
        <v>2</v>
      </c>
      <c r="M145" s="35" t="s">
        <v>57</v>
      </c>
      <c r="N145" s="10">
        <v>2.0</v>
      </c>
      <c r="O145" s="10">
        <v>2.0</v>
      </c>
      <c r="P145" s="26">
        <f t="array" ref="P145:P162">IF(SEQUENCE(18, 1), COUNTIF(F145:F162, $M$2))
</f>
        <v>1</v>
      </c>
      <c r="Q145" s="26">
        <f t="array" ref="Q145:Q162">IF(SEQUENCE(18, 1), COUNTIF(G145:G162, $M$2))
</f>
        <v>4</v>
      </c>
      <c r="R145" s="36" t="s">
        <v>33</v>
      </c>
      <c r="S145" s="11">
        <v>3.0</v>
      </c>
      <c r="T145" s="11">
        <v>1.0</v>
      </c>
      <c r="U145" s="28">
        <f t="array" ref="U145:U162">IF(SEQUENCE(18, 1), COUNTIF(F145:F162, $R$2))
</f>
        <v>3</v>
      </c>
      <c r="V145" s="28">
        <f t="array" ref="V145:V162">IF(SEQUENCE(18, 1), COUNTIF(G145:G162, $R$2))
</f>
        <v>1</v>
      </c>
      <c r="W145" s="29"/>
      <c r="X145" s="30">
        <v>0.0</v>
      </c>
      <c r="Y145" s="30">
        <v>0.0</v>
      </c>
      <c r="Z145" s="31">
        <f t="array" ref="Z145:Z162">IF(SEQUENCE(18, 1), COUNTIF(F145:F162, $W$2))
</f>
        <v>0</v>
      </c>
      <c r="AA145" s="31">
        <f t="array" ref="AA145:AA162">IF(SEQUENCE(18, 1), COUNTIF(G145:G162, $W$2))
</f>
        <v>0</v>
      </c>
      <c r="AB145" s="32" t="s">
        <v>9</v>
      </c>
      <c r="AC145" s="32" t="s">
        <v>30</v>
      </c>
      <c r="AD145" s="13">
        <v>0.0</v>
      </c>
      <c r="AE145" s="13">
        <v>0.0</v>
      </c>
      <c r="AF145" s="13">
        <f t="shared" ref="AF145:AF162" si="47">IF(AB145 = "Borta", AJ145, (IF(AB145 = "Hemma", AI145, 0)))</f>
        <v>4</v>
      </c>
      <c r="AG145" s="33">
        <f t="shared" ref="AG145:AG162" si="48">IF(AB145 = "Hemma", AJ145, (IF(AB145 = "Borta", AI145, 0)))</f>
        <v>3</v>
      </c>
      <c r="AH145" s="33">
        <f t="shared" ref="AH145:AH162" si="49">IF(AB145 = "Borta", AK145, (IF(AB145 = "Hemma", AL145, 0)))</f>
        <v>3</v>
      </c>
      <c r="AI145" s="33">
        <f t="array" ref="AI145:AI162">IF(F145 &lt;&gt; "",
     SEQUENCE(18,1,1,0)*SUM(IF(A145:A162 = F145:F162, 1, 0)),
     SEQUENCE(18,1,0,0)
  )</f>
        <v>4</v>
      </c>
      <c r="AJ145" s="33">
        <f t="array" ref="AJ145:AJ162">IF(G145 &lt;&gt; "",
     SEQUENCE(18,1,1,0)*SUM(IF(E145:E162 = F145:F162, 1, 0)),
     SEQUENCE(18,1,0,0)
  )</f>
        <v>3</v>
      </c>
      <c r="AK145" s="33">
        <f t="array" ref="AK145:AK162">IF(SEQUENCE(18, 1), COUNTIF(B145:B162, 0))</f>
        <v>3</v>
      </c>
      <c r="AL145" s="33">
        <f t="array" ref="AL145:AL162">IF(SEQUENCE(18, 1), COUNTIF(D145:D162, 0))</f>
        <v>3</v>
      </c>
    </row>
    <row r="146">
      <c r="A146" s="20" t="str">
        <f>IFERROR(__xludf.DUMMYFUNCTION("""COMPUTED_VALUE"""),"Rosa")</f>
        <v>Rosa</v>
      </c>
      <c r="B146" s="8">
        <v>1.0</v>
      </c>
      <c r="C146" s="8" t="str">
        <f t="shared" si="44"/>
        <v>-</v>
      </c>
      <c r="D146" s="8">
        <v>4.0</v>
      </c>
      <c r="E146" s="21" t="s">
        <v>2</v>
      </c>
      <c r="F146" s="22" t="str">
        <f t="shared" si="45"/>
        <v>Blå</v>
      </c>
      <c r="G146" s="22" t="str">
        <f t="shared" si="46"/>
        <v>Rosa</v>
      </c>
      <c r="H146" s="38" t="s">
        <v>60</v>
      </c>
      <c r="I146" s="9">
        <v>1.0</v>
      </c>
      <c r="J146" s="9">
        <v>0.0</v>
      </c>
      <c r="K146" s="24">
        <v>3.0</v>
      </c>
      <c r="L146" s="24">
        <v>2.0</v>
      </c>
      <c r="M146" s="35" t="s">
        <v>61</v>
      </c>
      <c r="N146" s="10">
        <v>0.0</v>
      </c>
      <c r="O146" s="10">
        <v>1.0</v>
      </c>
      <c r="P146" s="26">
        <v>1.0</v>
      </c>
      <c r="Q146" s="26">
        <v>4.0</v>
      </c>
      <c r="R146" s="36" t="s">
        <v>36</v>
      </c>
      <c r="S146" s="11">
        <v>2.0</v>
      </c>
      <c r="T146" s="11">
        <v>6.0</v>
      </c>
      <c r="U146" s="28">
        <v>3.0</v>
      </c>
      <c r="V146" s="28">
        <v>1.0</v>
      </c>
      <c r="W146" s="29"/>
      <c r="X146" s="30">
        <v>0.0</v>
      </c>
      <c r="Y146" s="30">
        <v>0.0</v>
      </c>
      <c r="Z146" s="31">
        <v>0.0</v>
      </c>
      <c r="AA146" s="31">
        <v>0.0</v>
      </c>
      <c r="AB146" s="32" t="s">
        <v>11</v>
      </c>
      <c r="AC146" s="32" t="s">
        <v>62</v>
      </c>
      <c r="AD146" s="13">
        <v>1.0</v>
      </c>
      <c r="AE146" s="13">
        <v>0.0</v>
      </c>
      <c r="AF146" s="13">
        <f t="shared" si="47"/>
        <v>3</v>
      </c>
      <c r="AG146" s="33">
        <f t="shared" si="48"/>
        <v>4</v>
      </c>
      <c r="AH146" s="33">
        <f t="shared" si="49"/>
        <v>3</v>
      </c>
      <c r="AI146" s="33">
        <v>4.0</v>
      </c>
      <c r="AJ146" s="33">
        <v>3.0</v>
      </c>
      <c r="AK146" s="33">
        <v>3.0</v>
      </c>
      <c r="AL146" s="33">
        <v>3.0</v>
      </c>
    </row>
    <row r="147">
      <c r="A147" s="20" t="str">
        <f>IFERROR(__xludf.DUMMYFUNCTION("""COMPUTED_VALUE"""),"Grön")</f>
        <v>Grön</v>
      </c>
      <c r="B147" s="8">
        <v>2.0</v>
      </c>
      <c r="C147" s="8" t="str">
        <f t="shared" si="44"/>
        <v>-</v>
      </c>
      <c r="D147" s="8">
        <v>1.0</v>
      </c>
      <c r="E147" s="21" t="s">
        <v>5</v>
      </c>
      <c r="F147" s="22" t="str">
        <f t="shared" si="45"/>
        <v>Grön</v>
      </c>
      <c r="G147" s="22" t="str">
        <f t="shared" si="46"/>
        <v>Rosa</v>
      </c>
      <c r="H147" s="38" t="s">
        <v>59</v>
      </c>
      <c r="I147" s="9">
        <v>1.0</v>
      </c>
      <c r="J147" s="9">
        <v>5.0</v>
      </c>
      <c r="K147" s="24">
        <v>3.0</v>
      </c>
      <c r="L147" s="24">
        <v>2.0</v>
      </c>
      <c r="M147" s="35" t="s">
        <v>52</v>
      </c>
      <c r="N147" s="10">
        <v>3.0</v>
      </c>
      <c r="O147" s="10">
        <v>1.0</v>
      </c>
      <c r="P147" s="26">
        <v>1.0</v>
      </c>
      <c r="Q147" s="26">
        <v>4.0</v>
      </c>
      <c r="R147" s="36" t="s">
        <v>63</v>
      </c>
      <c r="S147" s="11">
        <v>5.0</v>
      </c>
      <c r="T147" s="11">
        <v>3.0</v>
      </c>
      <c r="U147" s="28">
        <v>3.0</v>
      </c>
      <c r="V147" s="28">
        <v>1.0</v>
      </c>
      <c r="W147" s="29"/>
      <c r="X147" s="30">
        <v>0.0</v>
      </c>
      <c r="Y147" s="30">
        <v>0.0</v>
      </c>
      <c r="Z147" s="31">
        <v>0.0</v>
      </c>
      <c r="AA147" s="31">
        <v>0.0</v>
      </c>
      <c r="AB147" s="34"/>
      <c r="AF147" s="13">
        <f t="shared" si="47"/>
        <v>0</v>
      </c>
      <c r="AG147" s="33">
        <f t="shared" si="48"/>
        <v>0</v>
      </c>
      <c r="AH147" s="33">
        <f t="shared" si="49"/>
        <v>0</v>
      </c>
      <c r="AI147" s="33">
        <v>4.0</v>
      </c>
      <c r="AJ147" s="33">
        <v>3.0</v>
      </c>
      <c r="AK147" s="33">
        <v>3.0</v>
      </c>
      <c r="AL147" s="33">
        <v>3.0</v>
      </c>
    </row>
    <row r="148">
      <c r="A148" s="20" t="str">
        <f>IFERROR(__xludf.DUMMYFUNCTION("""COMPUTED_VALUE"""),"Blå")</f>
        <v>Blå</v>
      </c>
      <c r="B148" s="8">
        <v>0.0</v>
      </c>
      <c r="C148" s="8" t="str">
        <f t="shared" si="44"/>
        <v>-</v>
      </c>
      <c r="D148" s="8">
        <v>5.0</v>
      </c>
      <c r="E148" s="21" t="s">
        <v>6</v>
      </c>
      <c r="F148" s="22" t="str">
        <f t="shared" si="45"/>
        <v>Grön</v>
      </c>
      <c r="G148" s="22" t="str">
        <f t="shared" si="46"/>
        <v>Blå</v>
      </c>
      <c r="H148" s="38" t="s">
        <v>58</v>
      </c>
      <c r="I148" s="9">
        <v>2.0</v>
      </c>
      <c r="J148" s="9">
        <v>2.0</v>
      </c>
      <c r="K148" s="24">
        <v>3.0</v>
      </c>
      <c r="L148" s="24">
        <v>2.0</v>
      </c>
      <c r="M148" s="25" t="s">
        <v>26</v>
      </c>
      <c r="N148" s="10">
        <v>1.0</v>
      </c>
      <c r="O148" s="10">
        <v>2.0</v>
      </c>
      <c r="P148" s="26">
        <v>1.0</v>
      </c>
      <c r="Q148" s="26">
        <v>4.0</v>
      </c>
      <c r="R148" s="36" t="s">
        <v>35</v>
      </c>
      <c r="S148" s="11">
        <v>3.0</v>
      </c>
      <c r="T148" s="11">
        <v>2.0</v>
      </c>
      <c r="U148" s="28">
        <v>3.0</v>
      </c>
      <c r="V148" s="28">
        <v>1.0</v>
      </c>
      <c r="W148" s="29"/>
      <c r="X148" s="30">
        <v>0.0</v>
      </c>
      <c r="Y148" s="30">
        <v>0.0</v>
      </c>
      <c r="Z148" s="31">
        <v>0.0</v>
      </c>
      <c r="AA148" s="31">
        <v>0.0</v>
      </c>
      <c r="AF148" s="13">
        <f t="shared" si="47"/>
        <v>0</v>
      </c>
      <c r="AG148" s="33">
        <f t="shared" si="48"/>
        <v>0</v>
      </c>
      <c r="AH148" s="33">
        <f t="shared" si="49"/>
        <v>0</v>
      </c>
      <c r="AI148" s="33">
        <v>4.0</v>
      </c>
      <c r="AJ148" s="33">
        <v>3.0</v>
      </c>
      <c r="AK148" s="33">
        <v>3.0</v>
      </c>
      <c r="AL148" s="33">
        <v>3.0</v>
      </c>
    </row>
    <row r="149">
      <c r="A149" s="20" t="str">
        <f>IFERROR(__xludf.DUMMYFUNCTION("""COMPUTED_VALUE"""),"Rosa")</f>
        <v>Rosa</v>
      </c>
      <c r="B149" s="8">
        <v>0.0</v>
      </c>
      <c r="C149" s="8" t="str">
        <f t="shared" si="44"/>
        <v>-</v>
      </c>
      <c r="D149" s="8">
        <v>1.0</v>
      </c>
      <c r="E149" s="21" t="s">
        <v>2</v>
      </c>
      <c r="F149" s="22" t="str">
        <f t="shared" si="45"/>
        <v>Blå</v>
      </c>
      <c r="G149" s="22" t="str">
        <f t="shared" si="46"/>
        <v>Rosa</v>
      </c>
      <c r="H149" s="49"/>
      <c r="I149" s="9">
        <v>0.0</v>
      </c>
      <c r="J149" s="9">
        <v>0.0</v>
      </c>
      <c r="K149" s="24">
        <v>3.0</v>
      </c>
      <c r="L149" s="24">
        <v>2.0</v>
      </c>
      <c r="M149" s="35"/>
      <c r="N149" s="10">
        <v>0.0</v>
      </c>
      <c r="O149" s="10">
        <v>0.0</v>
      </c>
      <c r="P149" s="26">
        <v>1.0</v>
      </c>
      <c r="Q149" s="26">
        <v>4.0</v>
      </c>
      <c r="R149" s="36"/>
      <c r="S149" s="11">
        <v>0.0</v>
      </c>
      <c r="T149" s="11">
        <v>0.0</v>
      </c>
      <c r="U149" s="28">
        <v>3.0</v>
      </c>
      <c r="V149" s="28">
        <v>1.0</v>
      </c>
      <c r="W149" s="29"/>
      <c r="X149" s="30">
        <v>0.0</v>
      </c>
      <c r="Y149" s="30">
        <v>0.0</v>
      </c>
      <c r="Z149" s="31">
        <v>0.0</v>
      </c>
      <c r="AA149" s="31">
        <v>0.0</v>
      </c>
      <c r="AF149" s="13">
        <f t="shared" si="47"/>
        <v>0</v>
      </c>
      <c r="AG149" s="33">
        <f t="shared" si="48"/>
        <v>0</v>
      </c>
      <c r="AH149" s="33">
        <f t="shared" si="49"/>
        <v>0</v>
      </c>
      <c r="AI149" s="33">
        <v>4.0</v>
      </c>
      <c r="AJ149" s="33">
        <v>3.0</v>
      </c>
      <c r="AK149" s="33">
        <v>3.0</v>
      </c>
      <c r="AL149" s="33">
        <v>3.0</v>
      </c>
    </row>
    <row r="150">
      <c r="A150" s="20" t="str">
        <f>IFERROR(__xludf.DUMMYFUNCTION("""COMPUTED_VALUE"""),"Grön")</f>
        <v>Grön</v>
      </c>
      <c r="B150" s="8">
        <v>1.0</v>
      </c>
      <c r="C150" s="8" t="str">
        <f t="shared" si="44"/>
        <v>-</v>
      </c>
      <c r="D150" s="8">
        <v>1.0</v>
      </c>
      <c r="E150" s="21" t="s">
        <v>5</v>
      </c>
      <c r="F150" s="22" t="str">
        <f t="shared" si="45"/>
        <v>Oavgjort</v>
      </c>
      <c r="G150" s="22" t="str">
        <f t="shared" si="46"/>
        <v>Oavgjort</v>
      </c>
      <c r="H150" s="38"/>
      <c r="I150" s="9">
        <v>0.0</v>
      </c>
      <c r="J150" s="9">
        <v>0.0</v>
      </c>
      <c r="K150" s="24">
        <v>3.0</v>
      </c>
      <c r="L150" s="24">
        <v>2.0</v>
      </c>
      <c r="M150" s="35"/>
      <c r="N150" s="10">
        <v>0.0</v>
      </c>
      <c r="O150" s="10">
        <v>0.0</v>
      </c>
      <c r="P150" s="26">
        <v>1.0</v>
      </c>
      <c r="Q150" s="26">
        <v>4.0</v>
      </c>
      <c r="R150" s="36"/>
      <c r="S150" s="11">
        <v>0.0</v>
      </c>
      <c r="T150" s="11">
        <v>0.0</v>
      </c>
      <c r="U150" s="28">
        <v>3.0</v>
      </c>
      <c r="V150" s="28">
        <v>1.0</v>
      </c>
      <c r="W150" s="29"/>
      <c r="X150" s="30">
        <v>0.0</v>
      </c>
      <c r="Y150" s="30">
        <v>0.0</v>
      </c>
      <c r="Z150" s="31">
        <v>0.0</v>
      </c>
      <c r="AA150" s="31">
        <v>0.0</v>
      </c>
      <c r="AF150" s="13">
        <f t="shared" si="47"/>
        <v>0</v>
      </c>
      <c r="AG150" s="33">
        <f t="shared" si="48"/>
        <v>0</v>
      </c>
      <c r="AH150" s="33">
        <f t="shared" si="49"/>
        <v>0</v>
      </c>
      <c r="AI150" s="33">
        <v>4.0</v>
      </c>
      <c r="AJ150" s="33">
        <v>3.0</v>
      </c>
      <c r="AK150" s="33">
        <v>3.0</v>
      </c>
      <c r="AL150" s="33">
        <v>3.0</v>
      </c>
    </row>
    <row r="151">
      <c r="A151" s="20" t="str">
        <f>IFERROR(__xludf.DUMMYFUNCTION("""COMPUTED_VALUE"""),"Blå")</f>
        <v>Blå</v>
      </c>
      <c r="B151" s="8">
        <v>1.0</v>
      </c>
      <c r="C151" s="8" t="str">
        <f t="shared" si="44"/>
        <v>-</v>
      </c>
      <c r="D151" s="8">
        <v>1.0</v>
      </c>
      <c r="E151" s="21" t="s">
        <v>6</v>
      </c>
      <c r="F151" s="22" t="str">
        <f t="shared" si="45"/>
        <v>Oavgjort</v>
      </c>
      <c r="G151" s="22" t="str">
        <f t="shared" si="46"/>
        <v>Oavgjort</v>
      </c>
      <c r="H151" s="23"/>
      <c r="I151" s="9">
        <v>0.0</v>
      </c>
      <c r="J151" s="9">
        <v>0.0</v>
      </c>
      <c r="K151" s="24">
        <v>3.0</v>
      </c>
      <c r="L151" s="24">
        <v>2.0</v>
      </c>
      <c r="M151" s="35"/>
      <c r="N151" s="10">
        <v>0.0</v>
      </c>
      <c r="O151" s="10">
        <v>0.0</v>
      </c>
      <c r="P151" s="26">
        <v>1.0</v>
      </c>
      <c r="Q151" s="26">
        <v>4.0</v>
      </c>
      <c r="R151" s="36"/>
      <c r="S151" s="11">
        <v>0.0</v>
      </c>
      <c r="T151" s="11">
        <v>0.0</v>
      </c>
      <c r="U151" s="28">
        <v>3.0</v>
      </c>
      <c r="V151" s="28">
        <v>1.0</v>
      </c>
      <c r="W151" s="29"/>
      <c r="X151" s="30">
        <v>0.0</v>
      </c>
      <c r="Y151" s="30">
        <v>0.0</v>
      </c>
      <c r="Z151" s="31">
        <v>0.0</v>
      </c>
      <c r="AA151" s="31">
        <v>0.0</v>
      </c>
      <c r="AF151" s="13">
        <f t="shared" si="47"/>
        <v>0</v>
      </c>
      <c r="AG151" s="33">
        <f t="shared" si="48"/>
        <v>0</v>
      </c>
      <c r="AH151" s="33">
        <f t="shared" si="49"/>
        <v>0</v>
      </c>
      <c r="AI151" s="33">
        <v>4.0</v>
      </c>
      <c r="AJ151" s="33">
        <v>3.0</v>
      </c>
      <c r="AK151" s="33">
        <v>3.0</v>
      </c>
      <c r="AL151" s="33">
        <v>3.0</v>
      </c>
    </row>
    <row r="152">
      <c r="A152" s="20" t="str">
        <f>IFERROR(__xludf.DUMMYFUNCTION("""COMPUTED_VALUE"""),"Rosa")</f>
        <v>Rosa</v>
      </c>
      <c r="B152" s="8">
        <v>2.0</v>
      </c>
      <c r="C152" s="8" t="str">
        <f t="shared" si="44"/>
        <v>-</v>
      </c>
      <c r="D152" s="8">
        <v>1.0</v>
      </c>
      <c r="E152" s="21" t="s">
        <v>2</v>
      </c>
      <c r="F152" s="22" t="str">
        <f t="shared" si="45"/>
        <v>Rosa</v>
      </c>
      <c r="G152" s="22" t="str">
        <f t="shared" si="46"/>
        <v>Blå</v>
      </c>
      <c r="H152" s="38"/>
      <c r="K152" s="24">
        <v>3.0</v>
      </c>
      <c r="L152" s="24">
        <v>2.0</v>
      </c>
      <c r="M152" s="35"/>
      <c r="P152" s="26">
        <v>1.0</v>
      </c>
      <c r="Q152" s="26">
        <v>4.0</v>
      </c>
      <c r="R152" s="36"/>
      <c r="U152" s="28">
        <v>3.0</v>
      </c>
      <c r="V152" s="28">
        <v>1.0</v>
      </c>
      <c r="W152" s="37"/>
      <c r="Z152" s="31">
        <v>0.0</v>
      </c>
      <c r="AA152" s="31">
        <v>0.0</v>
      </c>
      <c r="AF152" s="13">
        <f t="shared" si="47"/>
        <v>0</v>
      </c>
      <c r="AG152" s="33">
        <f t="shared" si="48"/>
        <v>0</v>
      </c>
      <c r="AH152" s="33">
        <f t="shared" si="49"/>
        <v>0</v>
      </c>
      <c r="AI152" s="33">
        <v>4.0</v>
      </c>
      <c r="AJ152" s="33">
        <v>3.0</v>
      </c>
      <c r="AK152" s="33">
        <v>3.0</v>
      </c>
      <c r="AL152" s="33">
        <v>3.0</v>
      </c>
    </row>
    <row r="153">
      <c r="A153" s="20" t="str">
        <f>IFERROR(__xludf.DUMMYFUNCTION("""COMPUTED_VALUE"""),"Grön")</f>
        <v>Grön</v>
      </c>
      <c r="B153" s="8">
        <v>2.0</v>
      </c>
      <c r="C153" s="8" t="str">
        <f t="shared" si="44"/>
        <v>-</v>
      </c>
      <c r="D153" s="8">
        <v>0.0</v>
      </c>
      <c r="E153" s="21" t="s">
        <v>5</v>
      </c>
      <c r="F153" s="22" t="str">
        <f t="shared" si="45"/>
        <v>Grön</v>
      </c>
      <c r="G153" s="22" t="str">
        <f t="shared" si="46"/>
        <v>Rosa</v>
      </c>
      <c r="K153" s="24">
        <v>3.0</v>
      </c>
      <c r="L153" s="24">
        <v>2.0</v>
      </c>
      <c r="P153" s="26">
        <v>1.0</v>
      </c>
      <c r="Q153" s="26">
        <v>4.0</v>
      </c>
      <c r="U153" s="28">
        <v>3.0</v>
      </c>
      <c r="V153" s="28">
        <v>1.0</v>
      </c>
      <c r="Z153" s="31">
        <v>0.0</v>
      </c>
      <c r="AA153" s="31">
        <v>0.0</v>
      </c>
      <c r="AF153" s="13">
        <f t="shared" si="47"/>
        <v>0</v>
      </c>
      <c r="AG153" s="33">
        <f t="shared" si="48"/>
        <v>0</v>
      </c>
      <c r="AH153" s="33">
        <f t="shared" si="49"/>
        <v>0</v>
      </c>
      <c r="AI153" s="33">
        <v>4.0</v>
      </c>
      <c r="AJ153" s="33">
        <v>3.0</v>
      </c>
      <c r="AK153" s="33">
        <v>3.0</v>
      </c>
      <c r="AL153" s="33">
        <v>3.0</v>
      </c>
    </row>
    <row r="154">
      <c r="A154" s="20" t="str">
        <f>IFERROR(__xludf.DUMMYFUNCTION("""COMPUTED_VALUE"""),"Blå")</f>
        <v>Blå</v>
      </c>
      <c r="B154" s="8">
        <v>0.0</v>
      </c>
      <c r="C154" s="8" t="str">
        <f t="shared" si="44"/>
        <v>-</v>
      </c>
      <c r="D154" s="8">
        <v>0.0</v>
      </c>
      <c r="E154" s="21" t="s">
        <v>6</v>
      </c>
      <c r="F154" s="22" t="str">
        <f t="shared" si="45"/>
        <v>Oavgjort</v>
      </c>
      <c r="G154" s="22" t="str">
        <f t="shared" si="46"/>
        <v>Oavgjort</v>
      </c>
      <c r="K154" s="24">
        <v>3.0</v>
      </c>
      <c r="L154" s="24">
        <v>2.0</v>
      </c>
      <c r="P154" s="26">
        <v>1.0</v>
      </c>
      <c r="Q154" s="26">
        <v>4.0</v>
      </c>
      <c r="U154" s="28">
        <v>3.0</v>
      </c>
      <c r="V154" s="28">
        <v>1.0</v>
      </c>
      <c r="Z154" s="31">
        <v>0.0</v>
      </c>
      <c r="AA154" s="31">
        <v>0.0</v>
      </c>
      <c r="AF154" s="13">
        <f t="shared" si="47"/>
        <v>0</v>
      </c>
      <c r="AG154" s="33">
        <f t="shared" si="48"/>
        <v>0</v>
      </c>
      <c r="AH154" s="33">
        <f t="shared" si="49"/>
        <v>0</v>
      </c>
      <c r="AI154" s="33">
        <v>4.0</v>
      </c>
      <c r="AJ154" s="33">
        <v>3.0</v>
      </c>
      <c r="AK154" s="33">
        <v>3.0</v>
      </c>
      <c r="AL154" s="33">
        <v>3.0</v>
      </c>
    </row>
    <row r="155">
      <c r="A155" s="20" t="str">
        <f>IFERROR(__xludf.DUMMYFUNCTION("""COMPUTED_VALUE"""),"Rosa")</f>
        <v>Rosa</v>
      </c>
      <c r="B155" s="8">
        <v>1.0</v>
      </c>
      <c r="C155" s="8" t="str">
        <f t="shared" si="44"/>
        <v>-</v>
      </c>
      <c r="D155" s="8">
        <v>1.0</v>
      </c>
      <c r="E155" s="21" t="s">
        <v>2</v>
      </c>
      <c r="F155" s="22" t="str">
        <f t="shared" si="45"/>
        <v>Oavgjort</v>
      </c>
      <c r="G155" s="22" t="str">
        <f t="shared" si="46"/>
        <v>Oavgjort</v>
      </c>
      <c r="K155" s="24">
        <v>3.0</v>
      </c>
      <c r="L155" s="24">
        <v>2.0</v>
      </c>
      <c r="P155" s="26">
        <v>1.0</v>
      </c>
      <c r="Q155" s="26">
        <v>4.0</v>
      </c>
      <c r="U155" s="28">
        <v>3.0</v>
      </c>
      <c r="V155" s="28">
        <v>1.0</v>
      </c>
      <c r="Z155" s="31">
        <v>0.0</v>
      </c>
      <c r="AA155" s="31">
        <v>0.0</v>
      </c>
      <c r="AF155" s="13">
        <f t="shared" si="47"/>
        <v>0</v>
      </c>
      <c r="AG155" s="33">
        <f t="shared" si="48"/>
        <v>0</v>
      </c>
      <c r="AH155" s="33">
        <f t="shared" si="49"/>
        <v>0</v>
      </c>
      <c r="AI155" s="33">
        <v>4.0</v>
      </c>
      <c r="AJ155" s="33">
        <v>3.0</v>
      </c>
      <c r="AK155" s="33">
        <v>3.0</v>
      </c>
      <c r="AL155" s="33">
        <v>3.0</v>
      </c>
    </row>
    <row r="156">
      <c r="A156" s="20" t="str">
        <f>IFERROR(__xludf.DUMMYFUNCTION("""COMPUTED_VALUE"""),"Grön")</f>
        <v>Grön</v>
      </c>
      <c r="B156" s="8">
        <v>1.0</v>
      </c>
      <c r="C156" s="8" t="str">
        <f t="shared" si="44"/>
        <v>-</v>
      </c>
      <c r="D156" s="8">
        <v>1.0</v>
      </c>
      <c r="E156" s="21" t="s">
        <v>5</v>
      </c>
      <c r="F156" s="22" t="str">
        <f t="shared" si="45"/>
        <v>Oavgjort</v>
      </c>
      <c r="G156" s="22" t="str">
        <f t="shared" si="46"/>
        <v>Oavgjort</v>
      </c>
      <c r="K156" s="24">
        <v>3.0</v>
      </c>
      <c r="L156" s="24">
        <v>2.0</v>
      </c>
      <c r="P156" s="26">
        <v>1.0</v>
      </c>
      <c r="Q156" s="26">
        <v>4.0</v>
      </c>
      <c r="U156" s="28">
        <v>3.0</v>
      </c>
      <c r="V156" s="28">
        <v>1.0</v>
      </c>
      <c r="Z156" s="31">
        <v>0.0</v>
      </c>
      <c r="AA156" s="31">
        <v>0.0</v>
      </c>
      <c r="AF156" s="13">
        <f t="shared" si="47"/>
        <v>0</v>
      </c>
      <c r="AG156" s="33">
        <f t="shared" si="48"/>
        <v>0</v>
      </c>
      <c r="AH156" s="33">
        <f t="shared" si="49"/>
        <v>0</v>
      </c>
      <c r="AI156" s="33">
        <v>4.0</v>
      </c>
      <c r="AJ156" s="33">
        <v>3.0</v>
      </c>
      <c r="AK156" s="33">
        <v>3.0</v>
      </c>
      <c r="AL156" s="33">
        <v>3.0</v>
      </c>
    </row>
    <row r="157">
      <c r="A157" s="20" t="str">
        <f>IFERROR(__xludf.DUMMYFUNCTION("""COMPUTED_VALUE"""),"Blå")</f>
        <v>Blå</v>
      </c>
      <c r="B157" s="8"/>
      <c r="C157" s="8" t="str">
        <f t="shared" si="44"/>
        <v>-</v>
      </c>
      <c r="D157" s="8"/>
      <c r="E157" s="21" t="s">
        <v>6</v>
      </c>
      <c r="F157" s="22" t="str">
        <f t="shared" si="45"/>
        <v/>
      </c>
      <c r="G157" s="22" t="str">
        <f t="shared" si="46"/>
        <v/>
      </c>
      <c r="K157" s="24">
        <v>3.0</v>
      </c>
      <c r="L157" s="24">
        <v>2.0</v>
      </c>
      <c r="P157" s="26">
        <v>1.0</v>
      </c>
      <c r="Q157" s="26">
        <v>4.0</v>
      </c>
      <c r="U157" s="28">
        <v>3.0</v>
      </c>
      <c r="V157" s="28">
        <v>1.0</v>
      </c>
      <c r="Z157" s="31">
        <v>0.0</v>
      </c>
      <c r="AA157" s="31">
        <v>0.0</v>
      </c>
      <c r="AF157" s="13">
        <f t="shared" si="47"/>
        <v>0</v>
      </c>
      <c r="AG157" s="33">
        <f t="shared" si="48"/>
        <v>0</v>
      </c>
      <c r="AH157" s="33">
        <f t="shared" si="49"/>
        <v>0</v>
      </c>
      <c r="AI157" s="33">
        <v>4.0</v>
      </c>
      <c r="AJ157" s="33">
        <v>3.0</v>
      </c>
      <c r="AK157" s="33">
        <v>3.0</v>
      </c>
      <c r="AL157" s="33">
        <v>3.0</v>
      </c>
    </row>
    <row r="158">
      <c r="A158" s="20" t="str">
        <f>IFERROR(__xludf.DUMMYFUNCTION("""COMPUTED_VALUE"""),"Rosa")</f>
        <v>Rosa</v>
      </c>
      <c r="B158" s="8"/>
      <c r="C158" s="8" t="str">
        <f t="shared" si="44"/>
        <v>-</v>
      </c>
      <c r="D158" s="8"/>
      <c r="E158" s="21" t="s">
        <v>2</v>
      </c>
      <c r="F158" s="22" t="str">
        <f t="shared" si="45"/>
        <v/>
      </c>
      <c r="G158" s="22" t="str">
        <f t="shared" si="46"/>
        <v/>
      </c>
      <c r="K158" s="24">
        <v>3.0</v>
      </c>
      <c r="L158" s="24">
        <v>2.0</v>
      </c>
      <c r="P158" s="26">
        <v>1.0</v>
      </c>
      <c r="Q158" s="26">
        <v>4.0</v>
      </c>
      <c r="U158" s="28">
        <v>3.0</v>
      </c>
      <c r="V158" s="28">
        <v>1.0</v>
      </c>
      <c r="Z158" s="31">
        <v>0.0</v>
      </c>
      <c r="AA158" s="31">
        <v>0.0</v>
      </c>
      <c r="AF158" s="13">
        <f t="shared" si="47"/>
        <v>0</v>
      </c>
      <c r="AG158" s="33">
        <f t="shared" si="48"/>
        <v>0</v>
      </c>
      <c r="AH158" s="33">
        <f t="shared" si="49"/>
        <v>0</v>
      </c>
      <c r="AI158" s="33">
        <v>4.0</v>
      </c>
      <c r="AJ158" s="33">
        <v>3.0</v>
      </c>
      <c r="AK158" s="33">
        <v>3.0</v>
      </c>
      <c r="AL158" s="33">
        <v>3.0</v>
      </c>
    </row>
    <row r="159">
      <c r="A159" s="20" t="str">
        <f>IFERROR(__xludf.DUMMYFUNCTION("""COMPUTED_VALUE"""),"Grön")</f>
        <v>Grön</v>
      </c>
      <c r="B159" s="8"/>
      <c r="C159" s="8" t="str">
        <f t="shared" si="44"/>
        <v>-</v>
      </c>
      <c r="D159" s="8"/>
      <c r="E159" s="21" t="s">
        <v>5</v>
      </c>
      <c r="F159" s="22" t="str">
        <f t="shared" si="45"/>
        <v/>
      </c>
      <c r="G159" s="22" t="str">
        <f t="shared" si="46"/>
        <v/>
      </c>
      <c r="K159" s="24">
        <v>3.0</v>
      </c>
      <c r="L159" s="24">
        <v>2.0</v>
      </c>
      <c r="P159" s="26">
        <v>1.0</v>
      </c>
      <c r="Q159" s="26">
        <v>4.0</v>
      </c>
      <c r="U159" s="28">
        <v>3.0</v>
      </c>
      <c r="V159" s="28">
        <v>1.0</v>
      </c>
      <c r="Z159" s="31">
        <v>0.0</v>
      </c>
      <c r="AA159" s="31">
        <v>0.0</v>
      </c>
      <c r="AF159" s="13">
        <f t="shared" si="47"/>
        <v>0</v>
      </c>
      <c r="AG159" s="33">
        <f t="shared" si="48"/>
        <v>0</v>
      </c>
      <c r="AH159" s="33">
        <f t="shared" si="49"/>
        <v>0</v>
      </c>
      <c r="AI159" s="33">
        <v>4.0</v>
      </c>
      <c r="AJ159" s="33">
        <v>3.0</v>
      </c>
      <c r="AK159" s="33">
        <v>3.0</v>
      </c>
      <c r="AL159" s="33">
        <v>3.0</v>
      </c>
    </row>
    <row r="160">
      <c r="A160" s="20" t="str">
        <f>IFERROR(__xludf.DUMMYFUNCTION("""COMPUTED_VALUE"""),"Blå")</f>
        <v>Blå</v>
      </c>
      <c r="B160" s="8"/>
      <c r="C160" s="8" t="str">
        <f t="shared" si="44"/>
        <v>-</v>
      </c>
      <c r="D160" s="22"/>
      <c r="E160" s="21" t="s">
        <v>6</v>
      </c>
      <c r="F160" s="22" t="str">
        <f t="shared" si="45"/>
        <v/>
      </c>
      <c r="G160" s="22" t="str">
        <f t="shared" si="46"/>
        <v/>
      </c>
      <c r="K160" s="24">
        <v>3.0</v>
      </c>
      <c r="L160" s="24">
        <v>2.0</v>
      </c>
      <c r="P160" s="26">
        <v>1.0</v>
      </c>
      <c r="Q160" s="26">
        <v>4.0</v>
      </c>
      <c r="U160" s="28">
        <v>3.0</v>
      </c>
      <c r="V160" s="28">
        <v>1.0</v>
      </c>
      <c r="Z160" s="31">
        <v>0.0</v>
      </c>
      <c r="AA160" s="31">
        <v>0.0</v>
      </c>
      <c r="AF160" s="13">
        <f t="shared" si="47"/>
        <v>0</v>
      </c>
      <c r="AG160" s="33">
        <f t="shared" si="48"/>
        <v>0</v>
      </c>
      <c r="AH160" s="33">
        <f t="shared" si="49"/>
        <v>0</v>
      </c>
      <c r="AI160" s="33">
        <v>4.0</v>
      </c>
      <c r="AJ160" s="33">
        <v>3.0</v>
      </c>
      <c r="AK160" s="33">
        <v>3.0</v>
      </c>
      <c r="AL160" s="33">
        <v>3.0</v>
      </c>
    </row>
    <row r="161">
      <c r="A161" s="39" t="str">
        <f>IFERROR(__xludf.DUMMYFUNCTION("""COMPUTED_VALUE"""),"Rosa")</f>
        <v>Rosa</v>
      </c>
      <c r="B161" s="8"/>
      <c r="C161" s="8" t="str">
        <f t="shared" si="44"/>
        <v>-</v>
      </c>
      <c r="D161" s="8"/>
      <c r="E161" s="46" t="s">
        <v>2</v>
      </c>
      <c r="F161" s="22" t="str">
        <f t="shared" si="45"/>
        <v/>
      </c>
      <c r="G161" s="22" t="str">
        <f t="shared" si="46"/>
        <v/>
      </c>
      <c r="K161" s="24">
        <v>3.0</v>
      </c>
      <c r="L161" s="24">
        <v>2.0</v>
      </c>
      <c r="P161" s="26">
        <v>1.0</v>
      </c>
      <c r="Q161" s="26">
        <v>4.0</v>
      </c>
      <c r="U161" s="28">
        <v>3.0</v>
      </c>
      <c r="V161" s="28">
        <v>1.0</v>
      </c>
      <c r="Z161" s="31">
        <v>0.0</v>
      </c>
      <c r="AA161" s="31">
        <v>0.0</v>
      </c>
      <c r="AF161" s="13">
        <f t="shared" si="47"/>
        <v>0</v>
      </c>
      <c r="AG161" s="33">
        <f t="shared" si="48"/>
        <v>0</v>
      </c>
      <c r="AH161" s="33">
        <f t="shared" si="49"/>
        <v>0</v>
      </c>
      <c r="AI161" s="33">
        <v>4.0</v>
      </c>
      <c r="AJ161" s="33">
        <v>3.0</v>
      </c>
      <c r="AK161" s="33">
        <v>3.0</v>
      </c>
      <c r="AL161" s="33">
        <v>3.0</v>
      </c>
    </row>
    <row r="162">
      <c r="A162" s="39" t="str">
        <f>IFERROR(__xludf.DUMMYFUNCTION("""COMPUTED_VALUE"""),"Grön")</f>
        <v>Grön</v>
      </c>
      <c r="B162" s="22"/>
      <c r="C162" s="8" t="str">
        <f t="shared" si="44"/>
        <v>-</v>
      </c>
      <c r="D162" s="22"/>
      <c r="E162" s="46" t="s">
        <v>5</v>
      </c>
      <c r="F162" s="22"/>
      <c r="G162" s="22"/>
      <c r="K162" s="24">
        <v>3.0</v>
      </c>
      <c r="L162" s="24">
        <v>2.0</v>
      </c>
      <c r="P162" s="26">
        <v>1.0</v>
      </c>
      <c r="Q162" s="26">
        <v>4.0</v>
      </c>
      <c r="U162" s="28">
        <v>3.0</v>
      </c>
      <c r="V162" s="28">
        <v>1.0</v>
      </c>
      <c r="Z162" s="31">
        <v>0.0</v>
      </c>
      <c r="AA162" s="31">
        <v>0.0</v>
      </c>
      <c r="AF162" s="13">
        <f t="shared" si="47"/>
        <v>0</v>
      </c>
      <c r="AG162" s="33">
        <f t="shared" si="48"/>
        <v>0</v>
      </c>
      <c r="AH162" s="33">
        <f t="shared" si="49"/>
        <v>0</v>
      </c>
      <c r="AI162" s="33">
        <v>4.0</v>
      </c>
      <c r="AJ162" s="33">
        <v>3.0</v>
      </c>
      <c r="AK162" s="33">
        <v>3.0</v>
      </c>
      <c r="AL162" s="33">
        <v>3.0</v>
      </c>
    </row>
    <row r="163">
      <c r="A163" s="39"/>
      <c r="AH163" s="39"/>
      <c r="AI163" s="39"/>
      <c r="AJ163" s="39"/>
      <c r="AK163" s="39"/>
      <c r="AL163" s="39"/>
    </row>
    <row r="164">
      <c r="A164" s="40" t="str">
        <f>IFERROR(__xludf.DUMMYFUNCTION("""Gameweek "" &amp; (VALUE(REGEXEXTRACT(A144, ""Gameweek (\d+)"")) + 1)"),"Gameweek 9")</f>
        <v>Gameweek 9</v>
      </c>
      <c r="F164" s="40"/>
      <c r="G164" s="40"/>
      <c r="H164" s="41" t="str">
        <f>A164</f>
        <v>Gameweek 9</v>
      </c>
      <c r="K164" s="15" t="s">
        <v>21</v>
      </c>
      <c r="L164" s="15" t="s">
        <v>22</v>
      </c>
      <c r="M164" s="42" t="str">
        <f>A164</f>
        <v>Gameweek 9</v>
      </c>
      <c r="P164" s="16" t="s">
        <v>21</v>
      </c>
      <c r="Q164" s="16" t="s">
        <v>22</v>
      </c>
      <c r="R164" s="43" t="str">
        <f>A164</f>
        <v>Gameweek 9</v>
      </c>
      <c r="U164" s="17" t="s">
        <v>21</v>
      </c>
      <c r="V164" s="17" t="s">
        <v>22</v>
      </c>
      <c r="W164" s="44" t="str">
        <f>A164</f>
        <v>Gameweek 9</v>
      </c>
      <c r="Z164" s="18" t="s">
        <v>21</v>
      </c>
      <c r="AA164" s="18" t="s">
        <v>22</v>
      </c>
      <c r="AB164" s="45" t="str">
        <f>A164</f>
        <v>Gameweek 9</v>
      </c>
      <c r="AF164" s="19" t="s">
        <v>21</v>
      </c>
      <c r="AG164" s="19" t="s">
        <v>22</v>
      </c>
      <c r="AH164" s="19" t="s">
        <v>17</v>
      </c>
      <c r="AI164" s="19" t="s">
        <v>23</v>
      </c>
    </row>
    <row r="165">
      <c r="A165" s="47" t="str">
        <f>IFERROR(__xludf.DUMMYFUNCTION("IFERROR(ARRAYFORMULA(FLATTEN(SPLIT(REPT(TEXTJOIN("","", TRUE, FILTER({H$2, M$2, R$2}, {H165, M165, R165} &lt;&gt; """")) &amp; "","", CEILING(18 / COUNTA(FILTER({H$2, M$2, R$2}, {H165, M165, R165} &lt;&gt; """")))), "",""))), """")
"),"Blå")</f>
        <v>Blå</v>
      </c>
      <c r="B165" s="8">
        <v>1.0</v>
      </c>
      <c r="C165" s="8" t="str">
        <f t="shared" ref="C165:C182" si="50">IF(ISBLANK(A165), "", "-")
</f>
        <v>-</v>
      </c>
      <c r="D165" s="8">
        <v>0.0</v>
      </c>
      <c r="E165" s="48" t="str">
        <f t="array" ref="E165:E182">{A182; A165:A181}</f>
        <v>Grön</v>
      </c>
      <c r="F165" s="22" t="str">
        <f t="shared" ref="F165:F181" si="51">IF(AND(B165 &lt;&gt; "", D165 &lt;&gt; ""), IF(B165 &gt; D165, A165, IF(D165 &gt; B165, E165, "Oavgjort")), "")</f>
        <v>Blå</v>
      </c>
      <c r="G165" s="22" t="str">
        <f t="shared" ref="G165:G181" si="52">IF(AND(B165 &lt;&gt; "", D165 &lt;&gt; ""), IF(B165 &lt; D165, A165, IF(D165 &lt; B165, E165, "Oavgjort")), "")
</f>
        <v>Grön</v>
      </c>
      <c r="H165" s="38" t="s">
        <v>28</v>
      </c>
      <c r="I165" s="9">
        <v>1.0</v>
      </c>
      <c r="J165" s="9">
        <v>0.0</v>
      </c>
      <c r="K165" s="24">
        <f t="array" ref="K165:K182">IF(SEQUENCE(18, 1), COUNTIF(F165:F182, $H$2))
</f>
        <v>3</v>
      </c>
      <c r="L165" s="24">
        <f t="array" ref="L165:L182">IF(SEQUENCE(18, 1), COUNTIF(G165:G182, $H$2))
</f>
        <v>2</v>
      </c>
      <c r="M165" s="35" t="s">
        <v>64</v>
      </c>
      <c r="N165" s="10">
        <v>0.0</v>
      </c>
      <c r="O165" s="10">
        <v>0.0</v>
      </c>
      <c r="P165" s="26">
        <f t="array" ref="P165:P182">IF(SEQUENCE(18, 1), COUNTIF(F165:F182, $M$2))
</f>
        <v>1</v>
      </c>
      <c r="Q165" s="26">
        <f t="array" ref="Q165:Q182">IF(SEQUENCE(18, 1), COUNTIF(G165:G182, $M$2))
</f>
        <v>3</v>
      </c>
      <c r="R165" s="36" t="s">
        <v>60</v>
      </c>
      <c r="S165" s="11">
        <v>1.0</v>
      </c>
      <c r="T165" s="11">
        <v>0.0</v>
      </c>
      <c r="U165" s="28">
        <f t="array" ref="U165:U182">IF(SEQUENCE(18, 1), COUNTIF(F165:F182, $R$2))
</f>
        <v>4</v>
      </c>
      <c r="V165" s="28">
        <f t="array" ref="V165:V182">IF(SEQUENCE(18, 1), COUNTIF(G165:G182, $R$2))
</f>
        <v>3</v>
      </c>
      <c r="W165" s="29"/>
      <c r="X165" s="30">
        <v>0.0</v>
      </c>
      <c r="Y165" s="30">
        <v>0.0</v>
      </c>
      <c r="Z165" s="31">
        <f t="array" ref="Z165:Z182">IF(SEQUENCE(18, 1), COUNTIF(F165:F182, $W$2))
</f>
        <v>0</v>
      </c>
      <c r="AA165" s="31">
        <f t="array" ref="AA165:AA182">IF(SEQUENCE(18, 1), COUNTIF(G165:G182, $W$2))
</f>
        <v>0</v>
      </c>
      <c r="AB165" s="32" t="s">
        <v>9</v>
      </c>
      <c r="AC165" s="32" t="s">
        <v>62</v>
      </c>
      <c r="AD165" s="13">
        <v>1.0</v>
      </c>
      <c r="AE165" s="13">
        <v>0.0</v>
      </c>
      <c r="AF165" s="13">
        <f t="shared" ref="AF165:AF182" si="53">IF(AB165 = "Borta", AJ165, (IF(AB165 = "Hemma", AI165, 0)))</f>
        <v>7</v>
      </c>
      <c r="AG165" s="33">
        <f t="shared" ref="AG165:AG182" si="54">IF(AB165 = "Hemma", AJ165, (IF(AB165 = "Borta", AI165, 0)))</f>
        <v>1</v>
      </c>
      <c r="AH165" s="33">
        <f t="shared" ref="AH165:AH182" si="55">IF(AB165 = "Borta", AK165, (IF(AB165 = "Hemma", AL165, 0)))</f>
        <v>11</v>
      </c>
      <c r="AI165" s="33">
        <f t="array" ref="AI165:AI182">IF(F165 &lt;&gt; "",
     SEQUENCE(18,1,1,0)*SUM(IF(A165:A182 = F165:F182, 1, 0)),
     SEQUENCE(18,1,0,0)
  )</f>
        <v>7</v>
      </c>
      <c r="AJ165" s="33">
        <f t="array" ref="AJ165:AJ182">IF(G165 &lt;&gt; "",
     SEQUENCE(18,1,1,0)*SUM(IF(E165:E182 = F165:F182, 1, 0)),
     SEQUENCE(18,1,0,0)
  )</f>
        <v>1</v>
      </c>
      <c r="AK165" s="33">
        <f t="array" ref="AK165:AK182">IF(SEQUENCE(18, 1), COUNTIF(B165:B182, 0))</f>
        <v>5</v>
      </c>
      <c r="AL165" s="33">
        <f t="array" ref="AL165:AL182">IF(SEQUENCE(18, 1), COUNTIF(D165:D182, 0))</f>
        <v>11</v>
      </c>
    </row>
    <row r="166">
      <c r="A166" s="20" t="str">
        <f>IFERROR(__xludf.DUMMYFUNCTION("""COMPUTED_VALUE"""),"Rosa")</f>
        <v>Rosa</v>
      </c>
      <c r="B166" s="8">
        <v>0.0</v>
      </c>
      <c r="C166" s="8" t="str">
        <f t="shared" si="50"/>
        <v>-</v>
      </c>
      <c r="D166" s="8">
        <v>0.0</v>
      </c>
      <c r="E166" s="21" t="s">
        <v>2</v>
      </c>
      <c r="F166" s="22" t="str">
        <f t="shared" si="51"/>
        <v>Oavgjort</v>
      </c>
      <c r="G166" s="22" t="str">
        <f t="shared" si="52"/>
        <v>Oavgjort</v>
      </c>
      <c r="H166" s="38" t="s">
        <v>33</v>
      </c>
      <c r="I166" s="9">
        <v>0.0</v>
      </c>
      <c r="J166" s="9">
        <v>1.0</v>
      </c>
      <c r="K166" s="24">
        <v>3.0</v>
      </c>
      <c r="L166" s="24">
        <v>2.0</v>
      </c>
      <c r="M166" s="35" t="s">
        <v>25</v>
      </c>
      <c r="N166" s="10">
        <v>0.0</v>
      </c>
      <c r="O166" s="10">
        <v>2.0</v>
      </c>
      <c r="P166" s="26">
        <v>1.0</v>
      </c>
      <c r="Q166" s="26">
        <v>3.0</v>
      </c>
      <c r="R166" s="36" t="s">
        <v>65</v>
      </c>
      <c r="S166" s="11">
        <v>1.0</v>
      </c>
      <c r="T166" s="11">
        <v>0.0</v>
      </c>
      <c r="U166" s="28">
        <v>4.0</v>
      </c>
      <c r="V166" s="28">
        <v>3.0</v>
      </c>
      <c r="W166" s="29"/>
      <c r="X166" s="30">
        <v>0.0</v>
      </c>
      <c r="Y166" s="30">
        <v>0.0</v>
      </c>
      <c r="Z166" s="31">
        <v>0.0</v>
      </c>
      <c r="AA166" s="31">
        <v>0.0</v>
      </c>
      <c r="AB166" s="32" t="s">
        <v>11</v>
      </c>
      <c r="AC166" s="32" t="s">
        <v>30</v>
      </c>
      <c r="AD166" s="13">
        <v>0.0</v>
      </c>
      <c r="AE166" s="13">
        <v>0.0</v>
      </c>
      <c r="AF166" s="13">
        <f t="shared" si="53"/>
        <v>1</v>
      </c>
      <c r="AG166" s="33">
        <f t="shared" si="54"/>
        <v>7</v>
      </c>
      <c r="AH166" s="33">
        <f t="shared" si="55"/>
        <v>5</v>
      </c>
      <c r="AI166" s="33">
        <v>7.0</v>
      </c>
      <c r="AJ166" s="33">
        <v>1.0</v>
      </c>
      <c r="AK166" s="33">
        <v>5.0</v>
      </c>
      <c r="AL166" s="33">
        <v>11.0</v>
      </c>
    </row>
    <row r="167">
      <c r="A167" s="20" t="str">
        <f>IFERROR(__xludf.DUMMYFUNCTION("""COMPUTED_VALUE"""),"Grön")</f>
        <v>Grön</v>
      </c>
      <c r="B167" s="8">
        <v>1.0</v>
      </c>
      <c r="C167" s="8" t="str">
        <f t="shared" si="50"/>
        <v>-</v>
      </c>
      <c r="D167" s="8">
        <v>0.0</v>
      </c>
      <c r="E167" s="21" t="s">
        <v>5</v>
      </c>
      <c r="F167" s="22" t="str">
        <f t="shared" si="51"/>
        <v>Grön</v>
      </c>
      <c r="G167" s="22" t="str">
        <f t="shared" si="52"/>
        <v>Rosa</v>
      </c>
      <c r="H167" s="38" t="s">
        <v>53</v>
      </c>
      <c r="I167" s="9">
        <v>0.0</v>
      </c>
      <c r="J167" s="9">
        <v>0.0</v>
      </c>
      <c r="K167" s="24">
        <v>3.0</v>
      </c>
      <c r="L167" s="24">
        <v>2.0</v>
      </c>
      <c r="M167" s="35" t="s">
        <v>55</v>
      </c>
      <c r="N167" s="10">
        <v>1.0</v>
      </c>
      <c r="O167" s="10">
        <v>1.0</v>
      </c>
      <c r="P167" s="26">
        <v>1.0</v>
      </c>
      <c r="Q167" s="26">
        <v>3.0</v>
      </c>
      <c r="R167" s="36" t="s">
        <v>66</v>
      </c>
      <c r="S167" s="11">
        <v>2.0</v>
      </c>
      <c r="T167" s="11">
        <v>0.0</v>
      </c>
      <c r="U167" s="28">
        <v>4.0</v>
      </c>
      <c r="V167" s="28">
        <v>3.0</v>
      </c>
      <c r="W167" s="29"/>
      <c r="X167" s="30">
        <v>0.0</v>
      </c>
      <c r="Y167" s="30">
        <v>0.0</v>
      </c>
      <c r="Z167" s="31">
        <v>0.0</v>
      </c>
      <c r="AA167" s="31">
        <v>0.0</v>
      </c>
      <c r="AB167" s="34"/>
      <c r="AF167" s="13">
        <f t="shared" si="53"/>
        <v>0</v>
      </c>
      <c r="AG167" s="33">
        <f t="shared" si="54"/>
        <v>0</v>
      </c>
      <c r="AH167" s="33">
        <f t="shared" si="55"/>
        <v>0</v>
      </c>
      <c r="AI167" s="33">
        <v>7.0</v>
      </c>
      <c r="AJ167" s="33">
        <v>1.0</v>
      </c>
      <c r="AK167" s="33">
        <v>5.0</v>
      </c>
      <c r="AL167" s="33">
        <v>11.0</v>
      </c>
    </row>
    <row r="168">
      <c r="A168" s="20" t="str">
        <f>IFERROR(__xludf.DUMMYFUNCTION("""COMPUTED_VALUE"""),"Blå")</f>
        <v>Blå</v>
      </c>
      <c r="B168" s="8">
        <v>1.0</v>
      </c>
      <c r="C168" s="8" t="str">
        <f t="shared" si="50"/>
        <v>-</v>
      </c>
      <c r="D168" s="8">
        <v>0.0</v>
      </c>
      <c r="E168" s="21" t="s">
        <v>6</v>
      </c>
      <c r="F168" s="22" t="str">
        <f t="shared" si="51"/>
        <v>Blå</v>
      </c>
      <c r="G168" s="22" t="str">
        <f t="shared" si="52"/>
        <v>Grön</v>
      </c>
      <c r="H168" s="38" t="s">
        <v>36</v>
      </c>
      <c r="I168" s="9">
        <v>1.0</v>
      </c>
      <c r="J168" s="9">
        <v>2.0</v>
      </c>
      <c r="K168" s="24">
        <v>3.0</v>
      </c>
      <c r="L168" s="24">
        <v>2.0</v>
      </c>
      <c r="M168" s="35" t="s">
        <v>51</v>
      </c>
      <c r="N168" s="10">
        <v>1.0</v>
      </c>
      <c r="O168" s="10">
        <v>0.0</v>
      </c>
      <c r="P168" s="26">
        <v>1.0</v>
      </c>
      <c r="Q168" s="26">
        <v>3.0</v>
      </c>
      <c r="R168" s="36" t="s">
        <v>58</v>
      </c>
      <c r="S168" s="11">
        <v>1.0</v>
      </c>
      <c r="T168" s="11">
        <v>1.0</v>
      </c>
      <c r="U168" s="28">
        <v>4.0</v>
      </c>
      <c r="V168" s="28">
        <v>3.0</v>
      </c>
      <c r="W168" s="29"/>
      <c r="X168" s="30">
        <v>0.0</v>
      </c>
      <c r="Y168" s="30">
        <v>0.0</v>
      </c>
      <c r="Z168" s="31">
        <v>0.0</v>
      </c>
      <c r="AA168" s="31">
        <v>0.0</v>
      </c>
      <c r="AF168" s="13">
        <f t="shared" si="53"/>
        <v>0</v>
      </c>
      <c r="AG168" s="33">
        <f t="shared" si="54"/>
        <v>0</v>
      </c>
      <c r="AH168" s="33">
        <f t="shared" si="55"/>
        <v>0</v>
      </c>
      <c r="AI168" s="33">
        <v>7.0</v>
      </c>
      <c r="AJ168" s="33">
        <v>1.0</v>
      </c>
      <c r="AK168" s="33">
        <v>5.0</v>
      </c>
      <c r="AL168" s="33">
        <v>11.0</v>
      </c>
    </row>
    <row r="169">
      <c r="A169" s="20" t="str">
        <f>IFERROR(__xludf.DUMMYFUNCTION("""COMPUTED_VALUE"""),"Rosa")</f>
        <v>Rosa</v>
      </c>
      <c r="B169" s="8">
        <v>0.0</v>
      </c>
      <c r="C169" s="8" t="str">
        <f t="shared" si="50"/>
        <v>-</v>
      </c>
      <c r="D169" s="8">
        <v>0.0</v>
      </c>
      <c r="E169" s="21" t="s">
        <v>2</v>
      </c>
      <c r="F169" s="22" t="str">
        <f t="shared" si="51"/>
        <v>Oavgjort</v>
      </c>
      <c r="G169" s="22" t="str">
        <f t="shared" si="52"/>
        <v>Oavgjort</v>
      </c>
      <c r="H169" s="38" t="s">
        <v>63</v>
      </c>
      <c r="I169" s="9">
        <v>2.0</v>
      </c>
      <c r="J169" s="9">
        <v>1.0</v>
      </c>
      <c r="K169" s="24">
        <v>3.0</v>
      </c>
      <c r="L169" s="24">
        <v>2.0</v>
      </c>
      <c r="M169" s="35" t="s">
        <v>52</v>
      </c>
      <c r="N169" s="10">
        <v>1.0</v>
      </c>
      <c r="O169" s="10">
        <v>0.0</v>
      </c>
      <c r="P169" s="26">
        <v>1.0</v>
      </c>
      <c r="Q169" s="26">
        <v>3.0</v>
      </c>
      <c r="R169" s="36" t="s">
        <v>67</v>
      </c>
      <c r="S169" s="11">
        <v>0.0</v>
      </c>
      <c r="T169" s="11">
        <v>3.0</v>
      </c>
      <c r="U169" s="28">
        <v>4.0</v>
      </c>
      <c r="V169" s="28">
        <v>3.0</v>
      </c>
      <c r="W169" s="29"/>
      <c r="X169" s="30">
        <v>0.0</v>
      </c>
      <c r="Y169" s="30">
        <v>0.0</v>
      </c>
      <c r="Z169" s="31">
        <v>0.0</v>
      </c>
      <c r="AA169" s="31">
        <v>0.0</v>
      </c>
      <c r="AF169" s="13">
        <f t="shared" si="53"/>
        <v>0</v>
      </c>
      <c r="AG169" s="33">
        <f t="shared" si="54"/>
        <v>0</v>
      </c>
      <c r="AH169" s="33">
        <f t="shared" si="55"/>
        <v>0</v>
      </c>
      <c r="AI169" s="33">
        <v>7.0</v>
      </c>
      <c r="AJ169" s="33">
        <v>1.0</v>
      </c>
      <c r="AK169" s="33">
        <v>5.0</v>
      </c>
      <c r="AL169" s="33">
        <v>11.0</v>
      </c>
    </row>
    <row r="170">
      <c r="A170" s="20" t="str">
        <f>IFERROR(__xludf.DUMMYFUNCTION("""COMPUTED_VALUE"""),"Grön")</f>
        <v>Grön</v>
      </c>
      <c r="B170" s="8">
        <v>2.0</v>
      </c>
      <c r="C170" s="8" t="str">
        <f t="shared" si="50"/>
        <v>-</v>
      </c>
      <c r="D170" s="8">
        <v>0.0</v>
      </c>
      <c r="E170" s="21" t="s">
        <v>5</v>
      </c>
      <c r="F170" s="22" t="str">
        <f t="shared" si="51"/>
        <v>Grön</v>
      </c>
      <c r="G170" s="22" t="str">
        <f t="shared" si="52"/>
        <v>Rosa</v>
      </c>
      <c r="H170" s="38" t="s">
        <v>35</v>
      </c>
      <c r="I170" s="9">
        <v>1.0</v>
      </c>
      <c r="J170" s="9">
        <v>0.0</v>
      </c>
      <c r="K170" s="24">
        <v>3.0</v>
      </c>
      <c r="L170" s="24">
        <v>2.0</v>
      </c>
      <c r="M170" s="25" t="s">
        <v>26</v>
      </c>
      <c r="N170" s="10">
        <v>0.0</v>
      </c>
      <c r="O170" s="10">
        <v>0.0</v>
      </c>
      <c r="P170" s="26">
        <v>1.0</v>
      </c>
      <c r="Q170" s="26">
        <v>3.0</v>
      </c>
      <c r="R170" s="36" t="s">
        <v>34</v>
      </c>
      <c r="S170" s="11">
        <v>1.0</v>
      </c>
      <c r="T170" s="11">
        <v>2.0</v>
      </c>
      <c r="U170" s="28">
        <v>4.0</v>
      </c>
      <c r="V170" s="28">
        <v>3.0</v>
      </c>
      <c r="W170" s="29"/>
      <c r="X170" s="30">
        <v>0.0</v>
      </c>
      <c r="Y170" s="30">
        <v>0.0</v>
      </c>
      <c r="Z170" s="31">
        <v>0.0</v>
      </c>
      <c r="AA170" s="31">
        <v>0.0</v>
      </c>
      <c r="AF170" s="13">
        <f t="shared" si="53"/>
        <v>0</v>
      </c>
      <c r="AG170" s="33">
        <f t="shared" si="54"/>
        <v>0</v>
      </c>
      <c r="AH170" s="33">
        <f t="shared" si="55"/>
        <v>0</v>
      </c>
      <c r="AI170" s="33">
        <v>7.0</v>
      </c>
      <c r="AJ170" s="33">
        <v>1.0</v>
      </c>
      <c r="AK170" s="33">
        <v>5.0</v>
      </c>
      <c r="AL170" s="33">
        <v>11.0</v>
      </c>
    </row>
    <row r="171">
      <c r="A171" s="20" t="str">
        <f>IFERROR(__xludf.DUMMYFUNCTION("""COMPUTED_VALUE"""),"Blå")</f>
        <v>Blå</v>
      </c>
      <c r="B171" s="8">
        <v>0.0</v>
      </c>
      <c r="C171" s="8" t="str">
        <f t="shared" si="50"/>
        <v>-</v>
      </c>
      <c r="D171" s="8">
        <v>1.0</v>
      </c>
      <c r="E171" s="21" t="s">
        <v>6</v>
      </c>
      <c r="F171" s="22" t="str">
        <f t="shared" si="51"/>
        <v>Grön</v>
      </c>
      <c r="G171" s="22" t="str">
        <f t="shared" si="52"/>
        <v>Blå</v>
      </c>
      <c r="H171" s="23"/>
      <c r="I171" s="9">
        <v>0.0</v>
      </c>
      <c r="J171" s="9">
        <v>0.0</v>
      </c>
      <c r="K171" s="24">
        <v>3.0</v>
      </c>
      <c r="L171" s="24">
        <v>2.0</v>
      </c>
      <c r="M171" s="35"/>
      <c r="N171" s="10">
        <v>0.0</v>
      </c>
      <c r="O171" s="10">
        <v>0.0</v>
      </c>
      <c r="P171" s="26">
        <v>1.0</v>
      </c>
      <c r="Q171" s="26">
        <v>3.0</v>
      </c>
      <c r="R171" s="36"/>
      <c r="S171" s="11">
        <v>0.0</v>
      </c>
      <c r="T171" s="11">
        <v>0.0</v>
      </c>
      <c r="U171" s="28">
        <v>4.0</v>
      </c>
      <c r="V171" s="28">
        <v>3.0</v>
      </c>
      <c r="W171" s="29"/>
      <c r="X171" s="30">
        <v>0.0</v>
      </c>
      <c r="Y171" s="30">
        <v>0.0</v>
      </c>
      <c r="Z171" s="31">
        <v>0.0</v>
      </c>
      <c r="AA171" s="31">
        <v>0.0</v>
      </c>
      <c r="AF171" s="13">
        <f t="shared" si="53"/>
        <v>0</v>
      </c>
      <c r="AG171" s="33">
        <f t="shared" si="54"/>
        <v>0</v>
      </c>
      <c r="AH171" s="33">
        <f t="shared" si="55"/>
        <v>0</v>
      </c>
      <c r="AI171" s="33">
        <v>7.0</v>
      </c>
      <c r="AJ171" s="33">
        <v>1.0</v>
      </c>
      <c r="AK171" s="33">
        <v>5.0</v>
      </c>
      <c r="AL171" s="33">
        <v>11.0</v>
      </c>
    </row>
    <row r="172">
      <c r="A172" s="20" t="str">
        <f>IFERROR(__xludf.DUMMYFUNCTION("""COMPUTED_VALUE"""),"Rosa")</f>
        <v>Rosa</v>
      </c>
      <c r="B172" s="8">
        <v>1.0</v>
      </c>
      <c r="C172" s="8" t="str">
        <f t="shared" si="50"/>
        <v>-</v>
      </c>
      <c r="D172" s="8">
        <v>1.0</v>
      </c>
      <c r="E172" s="21" t="s">
        <v>2</v>
      </c>
      <c r="F172" s="22" t="str">
        <f t="shared" si="51"/>
        <v>Oavgjort</v>
      </c>
      <c r="G172" s="22" t="str">
        <f t="shared" si="52"/>
        <v>Oavgjort</v>
      </c>
      <c r="H172" s="38"/>
      <c r="K172" s="24">
        <v>3.0</v>
      </c>
      <c r="L172" s="24">
        <v>2.0</v>
      </c>
      <c r="M172" s="35"/>
      <c r="P172" s="26">
        <v>1.0</v>
      </c>
      <c r="Q172" s="26">
        <v>3.0</v>
      </c>
      <c r="R172" s="36"/>
      <c r="U172" s="28">
        <v>4.0</v>
      </c>
      <c r="V172" s="28">
        <v>3.0</v>
      </c>
      <c r="W172" s="37"/>
      <c r="Z172" s="31">
        <v>0.0</v>
      </c>
      <c r="AA172" s="31">
        <v>0.0</v>
      </c>
      <c r="AF172" s="13">
        <f t="shared" si="53"/>
        <v>0</v>
      </c>
      <c r="AG172" s="33">
        <f t="shared" si="54"/>
        <v>0</v>
      </c>
      <c r="AH172" s="33">
        <f t="shared" si="55"/>
        <v>0</v>
      </c>
      <c r="AI172" s="33">
        <v>7.0</v>
      </c>
      <c r="AJ172" s="33">
        <v>1.0</v>
      </c>
      <c r="AK172" s="33">
        <v>5.0</v>
      </c>
      <c r="AL172" s="33">
        <v>11.0</v>
      </c>
    </row>
    <row r="173">
      <c r="A173" s="20" t="str">
        <f>IFERROR(__xludf.DUMMYFUNCTION("""COMPUTED_VALUE"""),"Grön")</f>
        <v>Grön</v>
      </c>
      <c r="B173" s="8">
        <v>0.0</v>
      </c>
      <c r="C173" s="8" t="str">
        <f t="shared" si="50"/>
        <v>-</v>
      </c>
      <c r="D173" s="8">
        <v>0.0</v>
      </c>
      <c r="E173" s="21" t="s">
        <v>5</v>
      </c>
      <c r="F173" s="22" t="str">
        <f t="shared" si="51"/>
        <v>Oavgjort</v>
      </c>
      <c r="G173" s="22" t="str">
        <f t="shared" si="52"/>
        <v>Oavgjort</v>
      </c>
      <c r="K173" s="24">
        <v>3.0</v>
      </c>
      <c r="L173" s="24">
        <v>2.0</v>
      </c>
      <c r="P173" s="26">
        <v>1.0</v>
      </c>
      <c r="Q173" s="26">
        <v>3.0</v>
      </c>
      <c r="U173" s="28">
        <v>4.0</v>
      </c>
      <c r="V173" s="28">
        <v>3.0</v>
      </c>
      <c r="Z173" s="31">
        <v>0.0</v>
      </c>
      <c r="AA173" s="31">
        <v>0.0</v>
      </c>
      <c r="AF173" s="13">
        <f t="shared" si="53"/>
        <v>0</v>
      </c>
      <c r="AG173" s="33">
        <f t="shared" si="54"/>
        <v>0</v>
      </c>
      <c r="AH173" s="33">
        <f t="shared" si="55"/>
        <v>0</v>
      </c>
      <c r="AI173" s="33">
        <v>7.0</v>
      </c>
      <c r="AJ173" s="33">
        <v>1.0</v>
      </c>
      <c r="AK173" s="33">
        <v>5.0</v>
      </c>
      <c r="AL173" s="33">
        <v>11.0</v>
      </c>
    </row>
    <row r="174">
      <c r="A174" s="20" t="str">
        <f>IFERROR(__xludf.DUMMYFUNCTION("""COMPUTED_VALUE"""),"Blå")</f>
        <v>Blå</v>
      </c>
      <c r="B174" s="8">
        <v>0.0</v>
      </c>
      <c r="C174" s="8" t="str">
        <f t="shared" si="50"/>
        <v>-</v>
      </c>
      <c r="D174" s="8">
        <v>0.0</v>
      </c>
      <c r="E174" s="21" t="s">
        <v>6</v>
      </c>
      <c r="F174" s="22" t="str">
        <f t="shared" si="51"/>
        <v>Oavgjort</v>
      </c>
      <c r="G174" s="22" t="str">
        <f t="shared" si="52"/>
        <v>Oavgjort</v>
      </c>
      <c r="K174" s="24">
        <v>3.0</v>
      </c>
      <c r="L174" s="24">
        <v>2.0</v>
      </c>
      <c r="P174" s="26">
        <v>1.0</v>
      </c>
      <c r="Q174" s="26">
        <v>3.0</v>
      </c>
      <c r="U174" s="28">
        <v>4.0</v>
      </c>
      <c r="V174" s="28">
        <v>3.0</v>
      </c>
      <c r="Z174" s="31">
        <v>0.0</v>
      </c>
      <c r="AA174" s="31">
        <v>0.0</v>
      </c>
      <c r="AF174" s="13">
        <f t="shared" si="53"/>
        <v>0</v>
      </c>
      <c r="AG174" s="33">
        <f t="shared" si="54"/>
        <v>0</v>
      </c>
      <c r="AH174" s="33">
        <f t="shared" si="55"/>
        <v>0</v>
      </c>
      <c r="AI174" s="33">
        <v>7.0</v>
      </c>
      <c r="AJ174" s="33">
        <v>1.0</v>
      </c>
      <c r="AK174" s="33">
        <v>5.0</v>
      </c>
      <c r="AL174" s="33">
        <v>11.0</v>
      </c>
    </row>
    <row r="175">
      <c r="A175" s="20" t="str">
        <f>IFERROR(__xludf.DUMMYFUNCTION("""COMPUTED_VALUE"""),"Rosa")</f>
        <v>Rosa</v>
      </c>
      <c r="B175" s="8">
        <v>2.0</v>
      </c>
      <c r="C175" s="8" t="str">
        <f t="shared" si="50"/>
        <v>-</v>
      </c>
      <c r="D175" s="8">
        <v>0.0</v>
      </c>
      <c r="E175" s="21" t="s">
        <v>2</v>
      </c>
      <c r="F175" s="22" t="str">
        <f t="shared" si="51"/>
        <v>Rosa</v>
      </c>
      <c r="G175" s="22" t="str">
        <f t="shared" si="52"/>
        <v>Blå</v>
      </c>
      <c r="K175" s="24">
        <v>3.0</v>
      </c>
      <c r="L175" s="24">
        <v>2.0</v>
      </c>
      <c r="P175" s="26">
        <v>1.0</v>
      </c>
      <c r="Q175" s="26">
        <v>3.0</v>
      </c>
      <c r="U175" s="28">
        <v>4.0</v>
      </c>
      <c r="V175" s="28">
        <v>3.0</v>
      </c>
      <c r="Z175" s="31">
        <v>0.0</v>
      </c>
      <c r="AA175" s="31">
        <v>0.0</v>
      </c>
      <c r="AF175" s="13">
        <f t="shared" si="53"/>
        <v>0</v>
      </c>
      <c r="AG175" s="33">
        <f t="shared" si="54"/>
        <v>0</v>
      </c>
      <c r="AH175" s="33">
        <f t="shared" si="55"/>
        <v>0</v>
      </c>
      <c r="AI175" s="33">
        <v>7.0</v>
      </c>
      <c r="AJ175" s="33">
        <v>1.0</v>
      </c>
      <c r="AK175" s="33">
        <v>5.0</v>
      </c>
      <c r="AL175" s="33">
        <v>11.0</v>
      </c>
    </row>
    <row r="176">
      <c r="A176" s="20" t="str">
        <f>IFERROR(__xludf.DUMMYFUNCTION("""COMPUTED_VALUE"""),"Grön")</f>
        <v>Grön</v>
      </c>
      <c r="B176" s="8">
        <v>2.0</v>
      </c>
      <c r="C176" s="8" t="str">
        <f t="shared" si="50"/>
        <v>-</v>
      </c>
      <c r="D176" s="8">
        <v>0.0</v>
      </c>
      <c r="E176" s="21" t="s">
        <v>5</v>
      </c>
      <c r="F176" s="22" t="str">
        <f t="shared" si="51"/>
        <v>Grön</v>
      </c>
      <c r="G176" s="22" t="str">
        <f t="shared" si="52"/>
        <v>Rosa</v>
      </c>
      <c r="K176" s="24">
        <v>3.0</v>
      </c>
      <c r="L176" s="24">
        <v>2.0</v>
      </c>
      <c r="P176" s="26">
        <v>1.0</v>
      </c>
      <c r="Q176" s="26">
        <v>3.0</v>
      </c>
      <c r="U176" s="28">
        <v>4.0</v>
      </c>
      <c r="V176" s="28">
        <v>3.0</v>
      </c>
      <c r="Z176" s="31">
        <v>0.0</v>
      </c>
      <c r="AA176" s="31">
        <v>0.0</v>
      </c>
      <c r="AF176" s="13">
        <f t="shared" si="53"/>
        <v>0</v>
      </c>
      <c r="AG176" s="33">
        <f t="shared" si="54"/>
        <v>0</v>
      </c>
      <c r="AH176" s="33">
        <f t="shared" si="55"/>
        <v>0</v>
      </c>
      <c r="AI176" s="33">
        <v>7.0</v>
      </c>
      <c r="AJ176" s="33">
        <v>1.0</v>
      </c>
      <c r="AK176" s="33">
        <v>5.0</v>
      </c>
      <c r="AL176" s="33">
        <v>11.0</v>
      </c>
    </row>
    <row r="177">
      <c r="A177" s="20" t="str">
        <f>IFERROR(__xludf.DUMMYFUNCTION("""COMPUTED_VALUE"""),"Blå")</f>
        <v>Blå</v>
      </c>
      <c r="B177" s="8">
        <v>3.0</v>
      </c>
      <c r="C177" s="8" t="str">
        <f t="shared" si="50"/>
        <v>-</v>
      </c>
      <c r="D177" s="8">
        <v>0.0</v>
      </c>
      <c r="E177" s="21" t="s">
        <v>6</v>
      </c>
      <c r="F177" s="22" t="str">
        <f t="shared" si="51"/>
        <v>Blå</v>
      </c>
      <c r="G177" s="22" t="str">
        <f t="shared" si="52"/>
        <v>Grön</v>
      </c>
      <c r="K177" s="24">
        <v>3.0</v>
      </c>
      <c r="L177" s="24">
        <v>2.0</v>
      </c>
      <c r="P177" s="26">
        <v>1.0</v>
      </c>
      <c r="Q177" s="26">
        <v>3.0</v>
      </c>
      <c r="U177" s="28">
        <v>4.0</v>
      </c>
      <c r="V177" s="28">
        <v>3.0</v>
      </c>
      <c r="Z177" s="31">
        <v>0.0</v>
      </c>
      <c r="AA177" s="31">
        <v>0.0</v>
      </c>
      <c r="AF177" s="13">
        <f t="shared" si="53"/>
        <v>0</v>
      </c>
      <c r="AG177" s="33">
        <f t="shared" si="54"/>
        <v>0</v>
      </c>
      <c r="AH177" s="33">
        <f t="shared" si="55"/>
        <v>0</v>
      </c>
      <c r="AI177" s="33">
        <v>7.0</v>
      </c>
      <c r="AJ177" s="33">
        <v>1.0</v>
      </c>
      <c r="AK177" s="33">
        <v>5.0</v>
      </c>
      <c r="AL177" s="33">
        <v>11.0</v>
      </c>
    </row>
    <row r="178">
      <c r="A178" s="20" t="str">
        <f>IFERROR(__xludf.DUMMYFUNCTION("""COMPUTED_VALUE"""),"Rosa")</f>
        <v>Rosa</v>
      </c>
      <c r="B178" s="8"/>
      <c r="C178" s="8" t="str">
        <f t="shared" si="50"/>
        <v>-</v>
      </c>
      <c r="D178" s="8"/>
      <c r="E178" s="21" t="s">
        <v>2</v>
      </c>
      <c r="F178" s="22" t="str">
        <f t="shared" si="51"/>
        <v/>
      </c>
      <c r="G178" s="22" t="str">
        <f t="shared" si="52"/>
        <v/>
      </c>
      <c r="K178" s="24">
        <v>3.0</v>
      </c>
      <c r="L178" s="24">
        <v>2.0</v>
      </c>
      <c r="P178" s="26">
        <v>1.0</v>
      </c>
      <c r="Q178" s="26">
        <v>3.0</v>
      </c>
      <c r="U178" s="28">
        <v>4.0</v>
      </c>
      <c r="V178" s="28">
        <v>3.0</v>
      </c>
      <c r="Z178" s="31">
        <v>0.0</v>
      </c>
      <c r="AA178" s="31">
        <v>0.0</v>
      </c>
      <c r="AF178" s="13">
        <f t="shared" si="53"/>
        <v>0</v>
      </c>
      <c r="AG178" s="33">
        <f t="shared" si="54"/>
        <v>0</v>
      </c>
      <c r="AH178" s="33">
        <f t="shared" si="55"/>
        <v>0</v>
      </c>
      <c r="AI178" s="33">
        <v>7.0</v>
      </c>
      <c r="AJ178" s="33">
        <v>1.0</v>
      </c>
      <c r="AK178" s="33">
        <v>5.0</v>
      </c>
      <c r="AL178" s="33">
        <v>11.0</v>
      </c>
    </row>
    <row r="179">
      <c r="A179" s="20" t="str">
        <f>IFERROR(__xludf.DUMMYFUNCTION("""COMPUTED_VALUE"""),"Grön")</f>
        <v>Grön</v>
      </c>
      <c r="B179" s="8"/>
      <c r="C179" s="8" t="str">
        <f t="shared" si="50"/>
        <v>-</v>
      </c>
      <c r="D179" s="8"/>
      <c r="E179" s="21" t="s">
        <v>5</v>
      </c>
      <c r="F179" s="22" t="str">
        <f t="shared" si="51"/>
        <v/>
      </c>
      <c r="G179" s="22" t="str">
        <f t="shared" si="52"/>
        <v/>
      </c>
      <c r="K179" s="24">
        <v>3.0</v>
      </c>
      <c r="L179" s="24">
        <v>2.0</v>
      </c>
      <c r="P179" s="26">
        <v>1.0</v>
      </c>
      <c r="Q179" s="26">
        <v>3.0</v>
      </c>
      <c r="U179" s="28">
        <v>4.0</v>
      </c>
      <c r="V179" s="28">
        <v>3.0</v>
      </c>
      <c r="Z179" s="31">
        <v>0.0</v>
      </c>
      <c r="AA179" s="31">
        <v>0.0</v>
      </c>
      <c r="AF179" s="13">
        <f t="shared" si="53"/>
        <v>0</v>
      </c>
      <c r="AG179" s="33">
        <f t="shared" si="54"/>
        <v>0</v>
      </c>
      <c r="AH179" s="33">
        <f t="shared" si="55"/>
        <v>0</v>
      </c>
      <c r="AI179" s="33">
        <v>7.0</v>
      </c>
      <c r="AJ179" s="33">
        <v>1.0</v>
      </c>
      <c r="AK179" s="33">
        <v>5.0</v>
      </c>
      <c r="AL179" s="33">
        <v>11.0</v>
      </c>
    </row>
    <row r="180">
      <c r="A180" s="20" t="str">
        <f>IFERROR(__xludf.DUMMYFUNCTION("""COMPUTED_VALUE"""),"Blå")</f>
        <v>Blå</v>
      </c>
      <c r="B180" s="8"/>
      <c r="C180" s="8" t="str">
        <f t="shared" si="50"/>
        <v>-</v>
      </c>
      <c r="D180" s="22"/>
      <c r="E180" s="21" t="s">
        <v>6</v>
      </c>
      <c r="F180" s="22" t="str">
        <f t="shared" si="51"/>
        <v/>
      </c>
      <c r="G180" s="22" t="str">
        <f t="shared" si="52"/>
        <v/>
      </c>
      <c r="K180" s="24">
        <v>3.0</v>
      </c>
      <c r="L180" s="24">
        <v>2.0</v>
      </c>
      <c r="P180" s="26">
        <v>1.0</v>
      </c>
      <c r="Q180" s="26">
        <v>3.0</v>
      </c>
      <c r="U180" s="28">
        <v>4.0</v>
      </c>
      <c r="V180" s="28">
        <v>3.0</v>
      </c>
      <c r="Z180" s="31">
        <v>0.0</v>
      </c>
      <c r="AA180" s="31">
        <v>0.0</v>
      </c>
      <c r="AF180" s="13">
        <f t="shared" si="53"/>
        <v>0</v>
      </c>
      <c r="AG180" s="33">
        <f t="shared" si="54"/>
        <v>0</v>
      </c>
      <c r="AH180" s="33">
        <f t="shared" si="55"/>
        <v>0</v>
      </c>
      <c r="AI180" s="33">
        <v>7.0</v>
      </c>
      <c r="AJ180" s="33">
        <v>1.0</v>
      </c>
      <c r="AK180" s="33">
        <v>5.0</v>
      </c>
      <c r="AL180" s="33">
        <v>11.0</v>
      </c>
    </row>
    <row r="181">
      <c r="A181" s="39" t="str">
        <f>IFERROR(__xludf.DUMMYFUNCTION("""COMPUTED_VALUE"""),"Rosa")</f>
        <v>Rosa</v>
      </c>
      <c r="B181" s="8"/>
      <c r="C181" s="8" t="str">
        <f t="shared" si="50"/>
        <v>-</v>
      </c>
      <c r="D181" s="8"/>
      <c r="E181" s="46" t="s">
        <v>2</v>
      </c>
      <c r="F181" s="22" t="str">
        <f t="shared" si="51"/>
        <v/>
      </c>
      <c r="G181" s="22" t="str">
        <f t="shared" si="52"/>
        <v/>
      </c>
      <c r="K181" s="24">
        <v>3.0</v>
      </c>
      <c r="L181" s="24">
        <v>2.0</v>
      </c>
      <c r="P181" s="26">
        <v>1.0</v>
      </c>
      <c r="Q181" s="26">
        <v>3.0</v>
      </c>
      <c r="U181" s="28">
        <v>4.0</v>
      </c>
      <c r="V181" s="28">
        <v>3.0</v>
      </c>
      <c r="Z181" s="31">
        <v>0.0</v>
      </c>
      <c r="AA181" s="31">
        <v>0.0</v>
      </c>
      <c r="AF181" s="13">
        <f t="shared" si="53"/>
        <v>0</v>
      </c>
      <c r="AG181" s="33">
        <f t="shared" si="54"/>
        <v>0</v>
      </c>
      <c r="AH181" s="33">
        <f t="shared" si="55"/>
        <v>0</v>
      </c>
      <c r="AI181" s="33">
        <v>7.0</v>
      </c>
      <c r="AJ181" s="33">
        <v>1.0</v>
      </c>
      <c r="AK181" s="33">
        <v>5.0</v>
      </c>
      <c r="AL181" s="33">
        <v>11.0</v>
      </c>
    </row>
    <row r="182">
      <c r="A182" s="39" t="str">
        <f>IFERROR(__xludf.DUMMYFUNCTION("""COMPUTED_VALUE"""),"Grön")</f>
        <v>Grön</v>
      </c>
      <c r="B182" s="22"/>
      <c r="C182" s="8" t="str">
        <f t="shared" si="50"/>
        <v>-</v>
      </c>
      <c r="D182" s="22"/>
      <c r="E182" s="46" t="s">
        <v>5</v>
      </c>
      <c r="F182" s="22"/>
      <c r="G182" s="22"/>
      <c r="K182" s="24">
        <v>3.0</v>
      </c>
      <c r="L182" s="24">
        <v>2.0</v>
      </c>
      <c r="P182" s="26">
        <v>1.0</v>
      </c>
      <c r="Q182" s="26">
        <v>3.0</v>
      </c>
      <c r="U182" s="28">
        <v>4.0</v>
      </c>
      <c r="V182" s="28">
        <v>3.0</v>
      </c>
      <c r="Z182" s="31">
        <v>0.0</v>
      </c>
      <c r="AA182" s="31">
        <v>0.0</v>
      </c>
      <c r="AF182" s="13">
        <f t="shared" si="53"/>
        <v>0</v>
      </c>
      <c r="AG182" s="33">
        <f t="shared" si="54"/>
        <v>0</v>
      </c>
      <c r="AH182" s="33">
        <f t="shared" si="55"/>
        <v>0</v>
      </c>
      <c r="AI182" s="33">
        <v>7.0</v>
      </c>
      <c r="AJ182" s="33">
        <v>1.0</v>
      </c>
      <c r="AK182" s="33">
        <v>5.0</v>
      </c>
      <c r="AL182" s="33">
        <v>11.0</v>
      </c>
    </row>
    <row r="183">
      <c r="A183" s="39"/>
      <c r="AH183" s="39"/>
      <c r="AI183" s="39"/>
      <c r="AJ183" s="39"/>
      <c r="AK183" s="39"/>
      <c r="AL183" s="39"/>
    </row>
    <row r="184">
      <c r="A184" s="40" t="str">
        <f>IFERROR(__xludf.DUMMYFUNCTION("""Gameweek "" &amp; (VALUE(REGEXEXTRACT(A164, ""Gameweek (\d+)"")) + 1)"),"Gameweek 10")</f>
        <v>Gameweek 10</v>
      </c>
      <c r="F184" s="40"/>
      <c r="G184" s="40"/>
      <c r="H184" s="41" t="str">
        <f>A184</f>
        <v>Gameweek 10</v>
      </c>
      <c r="K184" s="15" t="s">
        <v>21</v>
      </c>
      <c r="L184" s="15" t="s">
        <v>22</v>
      </c>
      <c r="M184" s="42" t="str">
        <f>A184</f>
        <v>Gameweek 10</v>
      </c>
      <c r="P184" s="16" t="s">
        <v>21</v>
      </c>
      <c r="Q184" s="16" t="s">
        <v>22</v>
      </c>
      <c r="R184" s="43" t="str">
        <f>A184</f>
        <v>Gameweek 10</v>
      </c>
      <c r="U184" s="17" t="s">
        <v>21</v>
      </c>
      <c r="V184" s="17" t="s">
        <v>22</v>
      </c>
      <c r="W184" s="44" t="str">
        <f>A184</f>
        <v>Gameweek 10</v>
      </c>
      <c r="Z184" s="18" t="s">
        <v>21</v>
      </c>
      <c r="AA184" s="18" t="s">
        <v>22</v>
      </c>
      <c r="AB184" s="45" t="str">
        <f>A184</f>
        <v>Gameweek 10</v>
      </c>
      <c r="AF184" s="19" t="s">
        <v>21</v>
      </c>
      <c r="AG184" s="19" t="s">
        <v>22</v>
      </c>
      <c r="AH184" s="19" t="s">
        <v>17</v>
      </c>
      <c r="AI184" s="19" t="s">
        <v>23</v>
      </c>
    </row>
    <row r="185">
      <c r="A185" s="47" t="str">
        <f>IFERROR(__xludf.DUMMYFUNCTION("IFERROR(ARRAYFORMULA(FLATTEN(SPLIT(REPT(TEXTJOIN("","", TRUE, FILTER({H$2, M$2, R$2}, {H185, M185, R185} &lt;&gt; """")) &amp; "","", CEILING(18 / COUNTA(FILTER({H$2, M$2, R$2}, {H185, M185, R185} &lt;&gt; """")))), "",""))), """")
"),"Blå")</f>
        <v>Blå</v>
      </c>
      <c r="B185" s="8">
        <v>0.0</v>
      </c>
      <c r="C185" s="8" t="str">
        <f t="shared" ref="C185:C202" si="56">IF(ISBLANK(A185), "", "-")
</f>
        <v>-</v>
      </c>
      <c r="D185" s="8">
        <v>1.0</v>
      </c>
      <c r="E185" s="48" t="str">
        <f t="array" ref="E185:E202">{A202; A185:A201}</f>
        <v>Grön</v>
      </c>
      <c r="F185" s="22" t="str">
        <f t="shared" ref="F185:F201" si="57">IF(AND(B185 &lt;&gt; "", D185 &lt;&gt; ""), IF(B185 &gt; D185, A185, IF(D185 &gt; B185, E185, "Oavgjort")), "")</f>
        <v>Grön</v>
      </c>
      <c r="G185" s="22" t="str">
        <f t="shared" ref="G185:G201" si="58">IF(AND(B185 &lt;&gt; "", D185 &lt;&gt; ""), IF(B185 &lt; D185, A185, IF(D185 &lt; B185, E185, "Oavgjort")), "")
</f>
        <v>Blå</v>
      </c>
      <c r="H185" s="38" t="s">
        <v>33</v>
      </c>
      <c r="I185" s="9">
        <v>0.0</v>
      </c>
      <c r="J185" s="9">
        <v>0.0</v>
      </c>
      <c r="K185" s="24">
        <f t="array" ref="K185:K202">IF(SEQUENCE(18, 1), COUNTIF(F185:F202, $H$2))
</f>
        <v>2</v>
      </c>
      <c r="L185" s="24">
        <f t="array" ref="L185:L202">IF(SEQUENCE(18, 1), COUNTIF(G185:G202, $H$2))
</f>
        <v>4</v>
      </c>
      <c r="M185" s="35" t="s">
        <v>68</v>
      </c>
      <c r="N185" s="10">
        <v>0.0</v>
      </c>
      <c r="O185" s="10">
        <v>0.0</v>
      </c>
      <c r="P185" s="26">
        <f t="array" ref="P185:P202">IF(SEQUENCE(18, 1), COUNTIF(F185:F202, $M$2))
</f>
        <v>3</v>
      </c>
      <c r="Q185" s="26">
        <f t="array" ref="Q185:Q202">IF(SEQUENCE(18, 1), COUNTIF(G185:G202, $M$2))
</f>
        <v>1</v>
      </c>
      <c r="R185" s="36" t="s">
        <v>25</v>
      </c>
      <c r="S185" s="11">
        <v>3.0</v>
      </c>
      <c r="T185" s="11">
        <v>1.0</v>
      </c>
      <c r="U185" s="28">
        <f t="array" ref="U185:U202">IF(SEQUENCE(18, 1), COUNTIF(F185:F202, $R$2))
</f>
        <v>3</v>
      </c>
      <c r="V185" s="28">
        <f t="array" ref="V185:V202">IF(SEQUENCE(18, 1), COUNTIF(G185:G202, $R$2))
</f>
        <v>3</v>
      </c>
      <c r="W185" s="50" t="s">
        <v>40</v>
      </c>
      <c r="X185" s="30">
        <v>0.0</v>
      </c>
      <c r="Y185" s="30">
        <v>3.0</v>
      </c>
      <c r="Z185" s="31">
        <f t="array" ref="Z185:Z202">IF(SEQUENCE(18, 1), COUNTIF(F185:F202, $W$2))
</f>
        <v>0</v>
      </c>
      <c r="AA185" s="31">
        <f t="array" ref="AA185:AA202">IF(SEQUENCE(18, 1), COUNTIF(G185:G202, $W$2))
</f>
        <v>0</v>
      </c>
      <c r="AB185" s="32" t="s">
        <v>9</v>
      </c>
      <c r="AC185" s="32" t="s">
        <v>62</v>
      </c>
      <c r="AD185" s="13">
        <v>0.0</v>
      </c>
      <c r="AE185" s="13">
        <v>1.0</v>
      </c>
      <c r="AF185" s="13">
        <f t="shared" ref="AF185:AF202" si="59">IF(AB185 = "Borta", AJ185, (IF(AB185 = "Hemma", AI185, 0)))</f>
        <v>5</v>
      </c>
      <c r="AG185" s="33">
        <f t="shared" ref="AG185:AG202" si="60">IF(AB185 = "Hemma", AJ185, (IF(AB185 = "Borta", AI185, 0)))</f>
        <v>3</v>
      </c>
      <c r="AH185" s="33">
        <f t="shared" ref="AH185:AH202" si="61">IF(AB185 = "Borta", AK185, (IF(AB185 = "Hemma", AL185, 0)))</f>
        <v>9</v>
      </c>
      <c r="AI185" s="33">
        <f t="array" ref="AI185:AI202">IF(F185 &lt;&gt; "",
     SEQUENCE(18,1,1,0)*SUM(IF(A185:A202 = F185:F202, 1, 0)),
     SEQUENCE(18,1,0,0)
  )</f>
        <v>5</v>
      </c>
      <c r="AJ185" s="33">
        <f t="array" ref="AJ185:AJ202">IF(G185 &lt;&gt; "",
     SEQUENCE(18,1,1,0)*SUM(IF(E185:E202 = F185:F202, 1, 0)),
     SEQUENCE(18,1,0,0)
  )</f>
        <v>3</v>
      </c>
      <c r="AK185" s="33">
        <f t="array" ref="AK185:AK202">IF(SEQUENCE(18, 1), COUNTIF(B185:B202, 0))</f>
        <v>7</v>
      </c>
      <c r="AL185" s="33">
        <f t="array" ref="AL185:AL202">IF(SEQUENCE(18, 1), COUNTIF(D185:D202, 0))</f>
        <v>9</v>
      </c>
    </row>
    <row r="186">
      <c r="A186" s="20" t="str">
        <f>IFERROR(__xludf.DUMMYFUNCTION("""COMPUTED_VALUE"""),"Rosa")</f>
        <v>Rosa</v>
      </c>
      <c r="B186" s="8">
        <v>3.0</v>
      </c>
      <c r="C186" s="8" t="str">
        <f t="shared" si="56"/>
        <v>-</v>
      </c>
      <c r="D186" s="8">
        <v>0.0</v>
      </c>
      <c r="E186" s="21" t="s">
        <v>2</v>
      </c>
      <c r="F186" s="22" t="str">
        <f t="shared" si="57"/>
        <v>Rosa</v>
      </c>
      <c r="G186" s="22" t="str">
        <f t="shared" si="58"/>
        <v>Blå</v>
      </c>
      <c r="H186" s="38" t="s">
        <v>45</v>
      </c>
      <c r="I186" s="9">
        <v>0.0</v>
      </c>
      <c r="J186" s="9">
        <v>0.0</v>
      </c>
      <c r="K186" s="24">
        <v>2.0</v>
      </c>
      <c r="L186" s="24">
        <v>4.0</v>
      </c>
      <c r="M186" s="35" t="s">
        <v>36</v>
      </c>
      <c r="N186" s="10">
        <v>2.0</v>
      </c>
      <c r="O186" s="10">
        <v>0.0</v>
      </c>
      <c r="P186" s="26">
        <v>3.0</v>
      </c>
      <c r="Q186" s="26">
        <v>1.0</v>
      </c>
      <c r="R186" s="36" t="s">
        <v>63</v>
      </c>
      <c r="S186" s="11">
        <v>2.0</v>
      </c>
      <c r="T186" s="11">
        <v>1.0</v>
      </c>
      <c r="U186" s="28">
        <v>3.0</v>
      </c>
      <c r="V186" s="28">
        <v>3.0</v>
      </c>
      <c r="W186" s="50" t="s">
        <v>42</v>
      </c>
      <c r="X186" s="30">
        <v>0.0</v>
      </c>
      <c r="Y186" s="30">
        <v>3.0</v>
      </c>
      <c r="Z186" s="31">
        <v>0.0</v>
      </c>
      <c r="AA186" s="31">
        <v>0.0</v>
      </c>
      <c r="AB186" s="32" t="s">
        <v>11</v>
      </c>
      <c r="AC186" s="32" t="s">
        <v>30</v>
      </c>
      <c r="AD186" s="13">
        <v>0.0</v>
      </c>
      <c r="AE186" s="13">
        <v>3.0</v>
      </c>
      <c r="AF186" s="13">
        <f t="shared" si="59"/>
        <v>3</v>
      </c>
      <c r="AG186" s="33">
        <f t="shared" si="60"/>
        <v>5</v>
      </c>
      <c r="AH186" s="33">
        <f t="shared" si="61"/>
        <v>7</v>
      </c>
      <c r="AI186" s="33">
        <v>5.0</v>
      </c>
      <c r="AJ186" s="33">
        <v>3.0</v>
      </c>
      <c r="AK186" s="33">
        <v>7.0</v>
      </c>
      <c r="AL186" s="33">
        <v>9.0</v>
      </c>
    </row>
    <row r="187">
      <c r="A187" s="20" t="str">
        <f>IFERROR(__xludf.DUMMYFUNCTION("""COMPUTED_VALUE"""),"Grön")</f>
        <v>Grön</v>
      </c>
      <c r="B187" s="8">
        <v>0.0</v>
      </c>
      <c r="C187" s="8" t="str">
        <f t="shared" si="56"/>
        <v>-</v>
      </c>
      <c r="D187" s="8">
        <v>0.0</v>
      </c>
      <c r="E187" s="21" t="s">
        <v>5</v>
      </c>
      <c r="F187" s="22" t="str">
        <f t="shared" si="57"/>
        <v>Oavgjort</v>
      </c>
      <c r="G187" s="22" t="str">
        <f t="shared" si="58"/>
        <v>Oavgjort</v>
      </c>
      <c r="H187" s="38" t="s">
        <v>49</v>
      </c>
      <c r="I187" s="9">
        <v>1.0</v>
      </c>
      <c r="J187" s="9">
        <v>0.0</v>
      </c>
      <c r="K187" s="24">
        <v>2.0</v>
      </c>
      <c r="L187" s="24">
        <v>4.0</v>
      </c>
      <c r="M187" s="25" t="s">
        <v>26</v>
      </c>
      <c r="N187" s="10">
        <v>3.0</v>
      </c>
      <c r="O187" s="10">
        <v>1.0</v>
      </c>
      <c r="P187" s="26">
        <v>3.0</v>
      </c>
      <c r="Q187" s="26">
        <v>1.0</v>
      </c>
      <c r="R187" s="36" t="s">
        <v>34</v>
      </c>
      <c r="S187" s="11">
        <v>0.0</v>
      </c>
      <c r="T187" s="11">
        <v>1.0</v>
      </c>
      <c r="U187" s="28">
        <v>3.0</v>
      </c>
      <c r="V187" s="28">
        <v>3.0</v>
      </c>
      <c r="W187" s="29"/>
      <c r="X187" s="30">
        <v>0.0</v>
      </c>
      <c r="Y187" s="30">
        <v>0.0</v>
      </c>
      <c r="Z187" s="31">
        <v>0.0</v>
      </c>
      <c r="AA187" s="31">
        <v>0.0</v>
      </c>
      <c r="AB187" s="34"/>
      <c r="AF187" s="13">
        <f t="shared" si="59"/>
        <v>0</v>
      </c>
      <c r="AG187" s="33">
        <f t="shared" si="60"/>
        <v>0</v>
      </c>
      <c r="AH187" s="33">
        <f t="shared" si="61"/>
        <v>0</v>
      </c>
      <c r="AI187" s="33">
        <v>5.0</v>
      </c>
      <c r="AJ187" s="33">
        <v>3.0</v>
      </c>
      <c r="AK187" s="33">
        <v>7.0</v>
      </c>
      <c r="AL187" s="33">
        <v>9.0</v>
      </c>
    </row>
    <row r="188">
      <c r="A188" s="20" t="str">
        <f>IFERROR(__xludf.DUMMYFUNCTION("""COMPUTED_VALUE"""),"Blå")</f>
        <v>Blå</v>
      </c>
      <c r="B188" s="8">
        <v>0.0</v>
      </c>
      <c r="C188" s="8" t="str">
        <f t="shared" si="56"/>
        <v>-</v>
      </c>
      <c r="D188" s="8">
        <v>2.0</v>
      </c>
      <c r="E188" s="21" t="s">
        <v>6</v>
      </c>
      <c r="F188" s="22" t="str">
        <f t="shared" si="57"/>
        <v>Grön</v>
      </c>
      <c r="G188" s="22" t="str">
        <f t="shared" si="58"/>
        <v>Blå</v>
      </c>
      <c r="H188" s="38" t="s">
        <v>58</v>
      </c>
      <c r="I188" s="9">
        <v>2.0</v>
      </c>
      <c r="J188" s="9">
        <v>1.0</v>
      </c>
      <c r="K188" s="24">
        <v>2.0</v>
      </c>
      <c r="L188" s="24">
        <v>4.0</v>
      </c>
      <c r="M188" s="35" t="s">
        <v>35</v>
      </c>
      <c r="N188" s="10">
        <v>1.0</v>
      </c>
      <c r="O188" s="10">
        <v>3.0</v>
      </c>
      <c r="P188" s="26">
        <v>3.0</v>
      </c>
      <c r="Q188" s="26">
        <v>1.0</v>
      </c>
      <c r="R188" s="36" t="s">
        <v>29</v>
      </c>
      <c r="S188" s="11">
        <v>0.0</v>
      </c>
      <c r="T188" s="11">
        <v>0.0</v>
      </c>
      <c r="U188" s="28">
        <v>3.0</v>
      </c>
      <c r="V188" s="28">
        <v>3.0</v>
      </c>
      <c r="W188" s="29"/>
      <c r="X188" s="30">
        <v>0.0</v>
      </c>
      <c r="Y188" s="30">
        <v>0.0</v>
      </c>
      <c r="Z188" s="31">
        <v>0.0</v>
      </c>
      <c r="AA188" s="31">
        <v>0.0</v>
      </c>
      <c r="AF188" s="13">
        <f t="shared" si="59"/>
        <v>0</v>
      </c>
      <c r="AG188" s="33">
        <f t="shared" si="60"/>
        <v>0</v>
      </c>
      <c r="AH188" s="33">
        <f t="shared" si="61"/>
        <v>0</v>
      </c>
      <c r="AI188" s="33">
        <v>5.0</v>
      </c>
      <c r="AJ188" s="33">
        <v>3.0</v>
      </c>
      <c r="AK188" s="33">
        <v>7.0</v>
      </c>
      <c r="AL188" s="33">
        <v>9.0</v>
      </c>
    </row>
    <row r="189">
      <c r="A189" s="20" t="str">
        <f>IFERROR(__xludf.DUMMYFUNCTION("""COMPUTED_VALUE"""),"Rosa")</f>
        <v>Rosa</v>
      </c>
      <c r="B189" s="8">
        <v>0.0</v>
      </c>
      <c r="C189" s="8" t="str">
        <f t="shared" si="56"/>
        <v>-</v>
      </c>
      <c r="D189" s="8">
        <v>0.0</v>
      </c>
      <c r="E189" s="21" t="s">
        <v>2</v>
      </c>
      <c r="F189" s="22" t="str">
        <f t="shared" si="57"/>
        <v>Oavgjort</v>
      </c>
      <c r="G189" s="22" t="str">
        <f t="shared" si="58"/>
        <v>Oavgjort</v>
      </c>
      <c r="H189" s="38" t="s">
        <v>52</v>
      </c>
      <c r="I189" s="9">
        <v>0.0</v>
      </c>
      <c r="J189" s="9">
        <v>1.0</v>
      </c>
      <c r="K189" s="24">
        <v>2.0</v>
      </c>
      <c r="L189" s="24">
        <v>4.0</v>
      </c>
      <c r="M189" s="35"/>
      <c r="N189" s="10">
        <v>0.0</v>
      </c>
      <c r="O189" s="10">
        <v>0.0</v>
      </c>
      <c r="P189" s="26">
        <v>3.0</v>
      </c>
      <c r="Q189" s="26">
        <v>1.0</v>
      </c>
      <c r="R189" s="36"/>
      <c r="S189" s="11">
        <v>0.0</v>
      </c>
      <c r="T189" s="11">
        <v>0.0</v>
      </c>
      <c r="U189" s="28">
        <v>3.0</v>
      </c>
      <c r="V189" s="28">
        <v>3.0</v>
      </c>
      <c r="W189" s="29"/>
      <c r="X189" s="30">
        <v>0.0</v>
      </c>
      <c r="Y189" s="30">
        <v>0.0</v>
      </c>
      <c r="Z189" s="31">
        <v>0.0</v>
      </c>
      <c r="AA189" s="31">
        <v>0.0</v>
      </c>
      <c r="AF189" s="13">
        <f t="shared" si="59"/>
        <v>0</v>
      </c>
      <c r="AG189" s="33">
        <f t="shared" si="60"/>
        <v>0</v>
      </c>
      <c r="AH189" s="33">
        <f t="shared" si="61"/>
        <v>0</v>
      </c>
      <c r="AI189" s="33">
        <v>5.0</v>
      </c>
      <c r="AJ189" s="33">
        <v>3.0</v>
      </c>
      <c r="AK189" s="33">
        <v>7.0</v>
      </c>
      <c r="AL189" s="33">
        <v>9.0</v>
      </c>
    </row>
    <row r="190">
      <c r="A190" s="20" t="str">
        <f>IFERROR(__xludf.DUMMYFUNCTION("""COMPUTED_VALUE"""),"Grön")</f>
        <v>Grön</v>
      </c>
      <c r="B190" s="8">
        <v>0.0</v>
      </c>
      <c r="C190" s="8" t="str">
        <f t="shared" si="56"/>
        <v>-</v>
      </c>
      <c r="D190" s="8">
        <v>1.0</v>
      </c>
      <c r="E190" s="21" t="s">
        <v>5</v>
      </c>
      <c r="F190" s="22" t="str">
        <f t="shared" si="57"/>
        <v>Rosa</v>
      </c>
      <c r="G190" s="22" t="str">
        <f t="shared" si="58"/>
        <v>Grön</v>
      </c>
      <c r="H190" s="38"/>
      <c r="I190" s="9">
        <v>0.0</v>
      </c>
      <c r="J190" s="9">
        <v>0.0</v>
      </c>
      <c r="K190" s="24">
        <v>2.0</v>
      </c>
      <c r="L190" s="24">
        <v>4.0</v>
      </c>
      <c r="M190" s="35"/>
      <c r="N190" s="10">
        <v>0.0</v>
      </c>
      <c r="O190" s="10">
        <v>0.0</v>
      </c>
      <c r="P190" s="26">
        <v>3.0</v>
      </c>
      <c r="Q190" s="26">
        <v>1.0</v>
      </c>
      <c r="R190" s="36"/>
      <c r="S190" s="11">
        <v>0.0</v>
      </c>
      <c r="T190" s="11">
        <v>0.0</v>
      </c>
      <c r="U190" s="28">
        <v>3.0</v>
      </c>
      <c r="V190" s="28">
        <v>3.0</v>
      </c>
      <c r="W190" s="29"/>
      <c r="X190" s="30">
        <v>0.0</v>
      </c>
      <c r="Y190" s="30">
        <v>0.0</v>
      </c>
      <c r="Z190" s="31">
        <v>0.0</v>
      </c>
      <c r="AA190" s="31">
        <v>0.0</v>
      </c>
      <c r="AF190" s="13">
        <f t="shared" si="59"/>
        <v>0</v>
      </c>
      <c r="AG190" s="33">
        <f t="shared" si="60"/>
        <v>0</v>
      </c>
      <c r="AH190" s="33">
        <f t="shared" si="61"/>
        <v>0</v>
      </c>
      <c r="AI190" s="33">
        <v>5.0</v>
      </c>
      <c r="AJ190" s="33">
        <v>3.0</v>
      </c>
      <c r="AK190" s="33">
        <v>7.0</v>
      </c>
      <c r="AL190" s="33">
        <v>9.0</v>
      </c>
    </row>
    <row r="191">
      <c r="A191" s="20" t="str">
        <f>IFERROR(__xludf.DUMMYFUNCTION("""COMPUTED_VALUE"""),"Blå")</f>
        <v>Blå</v>
      </c>
      <c r="B191" s="8">
        <v>1.0</v>
      </c>
      <c r="C191" s="8" t="str">
        <f t="shared" si="56"/>
        <v>-</v>
      </c>
      <c r="D191" s="8">
        <v>0.0</v>
      </c>
      <c r="E191" s="21" t="s">
        <v>6</v>
      </c>
      <c r="F191" s="22" t="str">
        <f t="shared" si="57"/>
        <v>Blå</v>
      </c>
      <c r="G191" s="22" t="str">
        <f t="shared" si="58"/>
        <v>Grön</v>
      </c>
      <c r="H191" s="23"/>
      <c r="I191" s="9">
        <v>0.0</v>
      </c>
      <c r="J191" s="9">
        <v>0.0</v>
      </c>
      <c r="K191" s="24">
        <v>2.0</v>
      </c>
      <c r="L191" s="24">
        <v>4.0</v>
      </c>
      <c r="M191" s="35"/>
      <c r="N191" s="10">
        <v>0.0</v>
      </c>
      <c r="O191" s="10">
        <v>0.0</v>
      </c>
      <c r="P191" s="26">
        <v>3.0</v>
      </c>
      <c r="Q191" s="26">
        <v>1.0</v>
      </c>
      <c r="R191" s="36"/>
      <c r="S191" s="11">
        <v>0.0</v>
      </c>
      <c r="T191" s="11">
        <v>0.0</v>
      </c>
      <c r="U191" s="28">
        <v>3.0</v>
      </c>
      <c r="V191" s="28">
        <v>3.0</v>
      </c>
      <c r="W191" s="29"/>
      <c r="X191" s="30">
        <v>0.0</v>
      </c>
      <c r="Y191" s="30">
        <v>0.0</v>
      </c>
      <c r="Z191" s="31">
        <v>0.0</v>
      </c>
      <c r="AA191" s="31">
        <v>0.0</v>
      </c>
      <c r="AF191" s="13">
        <f t="shared" si="59"/>
        <v>0</v>
      </c>
      <c r="AG191" s="33">
        <f t="shared" si="60"/>
        <v>0</v>
      </c>
      <c r="AH191" s="33">
        <f t="shared" si="61"/>
        <v>0</v>
      </c>
      <c r="AI191" s="33">
        <v>5.0</v>
      </c>
      <c r="AJ191" s="33">
        <v>3.0</v>
      </c>
      <c r="AK191" s="33">
        <v>7.0</v>
      </c>
      <c r="AL191" s="33">
        <v>9.0</v>
      </c>
    </row>
    <row r="192">
      <c r="A192" s="20" t="str">
        <f>IFERROR(__xludf.DUMMYFUNCTION("""COMPUTED_VALUE"""),"Rosa")</f>
        <v>Rosa</v>
      </c>
      <c r="B192" s="8">
        <v>1.0</v>
      </c>
      <c r="C192" s="8" t="str">
        <f t="shared" si="56"/>
        <v>-</v>
      </c>
      <c r="D192" s="8">
        <v>1.0</v>
      </c>
      <c r="E192" s="21" t="s">
        <v>2</v>
      </c>
      <c r="F192" s="22" t="str">
        <f t="shared" si="57"/>
        <v>Oavgjort</v>
      </c>
      <c r="G192" s="22" t="str">
        <f t="shared" si="58"/>
        <v>Oavgjort</v>
      </c>
      <c r="H192" s="23"/>
      <c r="K192" s="24">
        <v>2.0</v>
      </c>
      <c r="L192" s="24">
        <v>4.0</v>
      </c>
      <c r="M192" s="35"/>
      <c r="P192" s="26">
        <v>3.0</v>
      </c>
      <c r="Q192" s="26">
        <v>1.0</v>
      </c>
      <c r="R192" s="36"/>
      <c r="U192" s="28">
        <v>3.0</v>
      </c>
      <c r="V192" s="28">
        <v>3.0</v>
      </c>
      <c r="W192" s="37"/>
      <c r="Z192" s="31">
        <v>0.0</v>
      </c>
      <c r="AA192" s="31">
        <v>0.0</v>
      </c>
      <c r="AF192" s="13">
        <f t="shared" si="59"/>
        <v>0</v>
      </c>
      <c r="AG192" s="33">
        <f t="shared" si="60"/>
        <v>0</v>
      </c>
      <c r="AH192" s="33">
        <f t="shared" si="61"/>
        <v>0</v>
      </c>
      <c r="AI192" s="33">
        <v>5.0</v>
      </c>
      <c r="AJ192" s="33">
        <v>3.0</v>
      </c>
      <c r="AK192" s="33">
        <v>7.0</v>
      </c>
      <c r="AL192" s="33">
        <v>9.0</v>
      </c>
    </row>
    <row r="193">
      <c r="A193" s="20" t="str">
        <f>IFERROR(__xludf.DUMMYFUNCTION("""COMPUTED_VALUE"""),"Grön")</f>
        <v>Grön</v>
      </c>
      <c r="B193" s="8">
        <v>0.0</v>
      </c>
      <c r="C193" s="8" t="str">
        <f t="shared" si="56"/>
        <v>-</v>
      </c>
      <c r="D193" s="8">
        <v>0.0</v>
      </c>
      <c r="E193" s="21" t="s">
        <v>5</v>
      </c>
      <c r="F193" s="22" t="str">
        <f t="shared" si="57"/>
        <v>Oavgjort</v>
      </c>
      <c r="G193" s="22" t="str">
        <f t="shared" si="58"/>
        <v>Oavgjort</v>
      </c>
      <c r="K193" s="24">
        <v>2.0</v>
      </c>
      <c r="L193" s="24">
        <v>4.0</v>
      </c>
      <c r="P193" s="26">
        <v>3.0</v>
      </c>
      <c r="Q193" s="26">
        <v>1.0</v>
      </c>
      <c r="U193" s="28">
        <v>3.0</v>
      </c>
      <c r="V193" s="28">
        <v>3.0</v>
      </c>
      <c r="Z193" s="31">
        <v>0.0</v>
      </c>
      <c r="AA193" s="31">
        <v>0.0</v>
      </c>
      <c r="AF193" s="13">
        <f t="shared" si="59"/>
        <v>0</v>
      </c>
      <c r="AG193" s="33">
        <f t="shared" si="60"/>
        <v>0</v>
      </c>
      <c r="AH193" s="33">
        <f t="shared" si="61"/>
        <v>0</v>
      </c>
      <c r="AI193" s="33">
        <v>5.0</v>
      </c>
      <c r="AJ193" s="33">
        <v>3.0</v>
      </c>
      <c r="AK193" s="33">
        <v>7.0</v>
      </c>
      <c r="AL193" s="33">
        <v>9.0</v>
      </c>
    </row>
    <row r="194">
      <c r="A194" s="20" t="str">
        <f>IFERROR(__xludf.DUMMYFUNCTION("""COMPUTED_VALUE"""),"Blå")</f>
        <v>Blå</v>
      </c>
      <c r="B194" s="8">
        <v>1.0</v>
      </c>
      <c r="C194" s="8" t="str">
        <f t="shared" si="56"/>
        <v>-</v>
      </c>
      <c r="D194" s="8">
        <v>0.0</v>
      </c>
      <c r="E194" s="21" t="s">
        <v>6</v>
      </c>
      <c r="F194" s="22" t="str">
        <f t="shared" si="57"/>
        <v>Blå</v>
      </c>
      <c r="G194" s="22" t="str">
        <f t="shared" si="58"/>
        <v>Grön</v>
      </c>
      <c r="K194" s="24">
        <v>2.0</v>
      </c>
      <c r="L194" s="24">
        <v>4.0</v>
      </c>
      <c r="P194" s="26">
        <v>3.0</v>
      </c>
      <c r="Q194" s="26">
        <v>1.0</v>
      </c>
      <c r="U194" s="28">
        <v>3.0</v>
      </c>
      <c r="V194" s="28">
        <v>3.0</v>
      </c>
      <c r="Z194" s="31">
        <v>0.0</v>
      </c>
      <c r="AA194" s="31">
        <v>0.0</v>
      </c>
      <c r="AF194" s="13">
        <f t="shared" si="59"/>
        <v>0</v>
      </c>
      <c r="AG194" s="33">
        <f t="shared" si="60"/>
        <v>0</v>
      </c>
      <c r="AH194" s="33">
        <f t="shared" si="61"/>
        <v>0</v>
      </c>
      <c r="AI194" s="33">
        <v>5.0</v>
      </c>
      <c r="AJ194" s="33">
        <v>3.0</v>
      </c>
      <c r="AK194" s="33">
        <v>7.0</v>
      </c>
      <c r="AL194" s="33">
        <v>9.0</v>
      </c>
    </row>
    <row r="195">
      <c r="A195" s="20" t="str">
        <f>IFERROR(__xludf.DUMMYFUNCTION("""COMPUTED_VALUE"""),"Rosa")</f>
        <v>Rosa</v>
      </c>
      <c r="B195" s="8">
        <v>2.0</v>
      </c>
      <c r="C195" s="8" t="str">
        <f t="shared" si="56"/>
        <v>-</v>
      </c>
      <c r="D195" s="8">
        <v>0.0</v>
      </c>
      <c r="E195" s="21" t="s">
        <v>2</v>
      </c>
      <c r="F195" s="22" t="str">
        <f t="shared" si="57"/>
        <v>Rosa</v>
      </c>
      <c r="G195" s="22" t="str">
        <f t="shared" si="58"/>
        <v>Blå</v>
      </c>
      <c r="K195" s="24">
        <v>2.0</v>
      </c>
      <c r="L195" s="24">
        <v>4.0</v>
      </c>
      <c r="P195" s="26">
        <v>3.0</v>
      </c>
      <c r="Q195" s="26">
        <v>1.0</v>
      </c>
      <c r="U195" s="28">
        <v>3.0</v>
      </c>
      <c r="V195" s="28">
        <v>3.0</v>
      </c>
      <c r="Z195" s="31">
        <v>0.0</v>
      </c>
      <c r="AA195" s="31">
        <v>0.0</v>
      </c>
      <c r="AF195" s="13">
        <f t="shared" si="59"/>
        <v>0</v>
      </c>
      <c r="AG195" s="33">
        <f t="shared" si="60"/>
        <v>0</v>
      </c>
      <c r="AH195" s="33">
        <f t="shared" si="61"/>
        <v>0</v>
      </c>
      <c r="AI195" s="33">
        <v>5.0</v>
      </c>
      <c r="AJ195" s="33">
        <v>3.0</v>
      </c>
      <c r="AK195" s="33">
        <v>7.0</v>
      </c>
      <c r="AL195" s="33">
        <v>9.0</v>
      </c>
    </row>
    <row r="196">
      <c r="A196" s="20" t="str">
        <f>IFERROR(__xludf.DUMMYFUNCTION("""COMPUTED_VALUE"""),"Grön")</f>
        <v>Grön</v>
      </c>
      <c r="B196" s="8">
        <v>2.0</v>
      </c>
      <c r="C196" s="8" t="str">
        <f t="shared" si="56"/>
        <v>-</v>
      </c>
      <c r="D196" s="8">
        <v>0.0</v>
      </c>
      <c r="E196" s="21" t="s">
        <v>5</v>
      </c>
      <c r="F196" s="22" t="str">
        <f t="shared" si="57"/>
        <v>Grön</v>
      </c>
      <c r="G196" s="22" t="str">
        <f t="shared" si="58"/>
        <v>Rosa</v>
      </c>
      <c r="K196" s="24">
        <v>2.0</v>
      </c>
      <c r="L196" s="24">
        <v>4.0</v>
      </c>
      <c r="P196" s="26">
        <v>3.0</v>
      </c>
      <c r="Q196" s="26">
        <v>1.0</v>
      </c>
      <c r="U196" s="28">
        <v>3.0</v>
      </c>
      <c r="V196" s="28">
        <v>3.0</v>
      </c>
      <c r="Z196" s="31">
        <v>0.0</v>
      </c>
      <c r="AA196" s="31">
        <v>0.0</v>
      </c>
      <c r="AF196" s="13">
        <f t="shared" si="59"/>
        <v>0</v>
      </c>
      <c r="AG196" s="33">
        <f t="shared" si="60"/>
        <v>0</v>
      </c>
      <c r="AH196" s="33">
        <f t="shared" si="61"/>
        <v>0</v>
      </c>
      <c r="AI196" s="33">
        <v>5.0</v>
      </c>
      <c r="AJ196" s="33">
        <v>3.0</v>
      </c>
      <c r="AK196" s="33">
        <v>7.0</v>
      </c>
      <c r="AL196" s="33">
        <v>9.0</v>
      </c>
    </row>
    <row r="197">
      <c r="A197" s="20" t="str">
        <f>IFERROR(__xludf.DUMMYFUNCTION("""COMPUTED_VALUE"""),"Blå")</f>
        <v>Blå</v>
      </c>
      <c r="B197" s="8">
        <v>0.0</v>
      </c>
      <c r="C197" s="8" t="str">
        <f t="shared" si="56"/>
        <v>-</v>
      </c>
      <c r="D197" s="8">
        <v>0.0</v>
      </c>
      <c r="E197" s="21" t="s">
        <v>6</v>
      </c>
      <c r="F197" s="22" t="str">
        <f t="shared" si="57"/>
        <v>Oavgjort</v>
      </c>
      <c r="G197" s="22" t="str">
        <f t="shared" si="58"/>
        <v>Oavgjort</v>
      </c>
      <c r="K197" s="24">
        <v>2.0</v>
      </c>
      <c r="L197" s="24">
        <v>4.0</v>
      </c>
      <c r="P197" s="26">
        <v>3.0</v>
      </c>
      <c r="Q197" s="26">
        <v>1.0</v>
      </c>
      <c r="U197" s="28">
        <v>3.0</v>
      </c>
      <c r="V197" s="28">
        <v>3.0</v>
      </c>
      <c r="Z197" s="31">
        <v>0.0</v>
      </c>
      <c r="AA197" s="31">
        <v>0.0</v>
      </c>
      <c r="AF197" s="13">
        <f t="shared" si="59"/>
        <v>0</v>
      </c>
      <c r="AG197" s="33">
        <f t="shared" si="60"/>
        <v>0</v>
      </c>
      <c r="AH197" s="33">
        <f t="shared" si="61"/>
        <v>0</v>
      </c>
      <c r="AI197" s="33">
        <v>5.0</v>
      </c>
      <c r="AJ197" s="33">
        <v>3.0</v>
      </c>
      <c r="AK197" s="33">
        <v>7.0</v>
      </c>
      <c r="AL197" s="33">
        <v>9.0</v>
      </c>
    </row>
    <row r="198">
      <c r="A198" s="20" t="str">
        <f>IFERROR(__xludf.DUMMYFUNCTION("""COMPUTED_VALUE"""),"Rosa")</f>
        <v>Rosa</v>
      </c>
      <c r="B198" s="8"/>
      <c r="C198" s="8" t="str">
        <f t="shared" si="56"/>
        <v>-</v>
      </c>
      <c r="D198" s="8"/>
      <c r="E198" s="21" t="s">
        <v>2</v>
      </c>
      <c r="F198" s="22" t="str">
        <f t="shared" si="57"/>
        <v/>
      </c>
      <c r="G198" s="22" t="str">
        <f t="shared" si="58"/>
        <v/>
      </c>
      <c r="K198" s="24">
        <v>2.0</v>
      </c>
      <c r="L198" s="24">
        <v>4.0</v>
      </c>
      <c r="P198" s="26">
        <v>3.0</v>
      </c>
      <c r="Q198" s="26">
        <v>1.0</v>
      </c>
      <c r="U198" s="28">
        <v>3.0</v>
      </c>
      <c r="V198" s="28">
        <v>3.0</v>
      </c>
      <c r="Z198" s="31">
        <v>0.0</v>
      </c>
      <c r="AA198" s="31">
        <v>0.0</v>
      </c>
      <c r="AF198" s="13">
        <f t="shared" si="59"/>
        <v>0</v>
      </c>
      <c r="AG198" s="33">
        <f t="shared" si="60"/>
        <v>0</v>
      </c>
      <c r="AH198" s="33">
        <f t="shared" si="61"/>
        <v>0</v>
      </c>
      <c r="AI198" s="33">
        <v>5.0</v>
      </c>
      <c r="AJ198" s="33">
        <v>3.0</v>
      </c>
      <c r="AK198" s="33">
        <v>7.0</v>
      </c>
      <c r="AL198" s="33">
        <v>9.0</v>
      </c>
    </row>
    <row r="199">
      <c r="A199" s="20" t="str">
        <f>IFERROR(__xludf.DUMMYFUNCTION("""COMPUTED_VALUE"""),"Grön")</f>
        <v>Grön</v>
      </c>
      <c r="B199" s="8"/>
      <c r="C199" s="8" t="str">
        <f t="shared" si="56"/>
        <v>-</v>
      </c>
      <c r="D199" s="8"/>
      <c r="E199" s="21" t="s">
        <v>5</v>
      </c>
      <c r="F199" s="22" t="str">
        <f t="shared" si="57"/>
        <v/>
      </c>
      <c r="G199" s="22" t="str">
        <f t="shared" si="58"/>
        <v/>
      </c>
      <c r="K199" s="24">
        <v>2.0</v>
      </c>
      <c r="L199" s="24">
        <v>4.0</v>
      </c>
      <c r="P199" s="26">
        <v>3.0</v>
      </c>
      <c r="Q199" s="26">
        <v>1.0</v>
      </c>
      <c r="U199" s="28">
        <v>3.0</v>
      </c>
      <c r="V199" s="28">
        <v>3.0</v>
      </c>
      <c r="Z199" s="31">
        <v>0.0</v>
      </c>
      <c r="AA199" s="31">
        <v>0.0</v>
      </c>
      <c r="AF199" s="13">
        <f t="shared" si="59"/>
        <v>0</v>
      </c>
      <c r="AG199" s="33">
        <f t="shared" si="60"/>
        <v>0</v>
      </c>
      <c r="AH199" s="33">
        <f t="shared" si="61"/>
        <v>0</v>
      </c>
      <c r="AI199" s="33">
        <v>5.0</v>
      </c>
      <c r="AJ199" s="33">
        <v>3.0</v>
      </c>
      <c r="AK199" s="33">
        <v>7.0</v>
      </c>
      <c r="AL199" s="33">
        <v>9.0</v>
      </c>
    </row>
    <row r="200">
      <c r="A200" s="20" t="str">
        <f>IFERROR(__xludf.DUMMYFUNCTION("""COMPUTED_VALUE"""),"Blå")</f>
        <v>Blå</v>
      </c>
      <c r="B200" s="8"/>
      <c r="C200" s="8" t="str">
        <f t="shared" si="56"/>
        <v>-</v>
      </c>
      <c r="D200" s="22"/>
      <c r="E200" s="21" t="s">
        <v>6</v>
      </c>
      <c r="F200" s="22" t="str">
        <f t="shared" si="57"/>
        <v/>
      </c>
      <c r="G200" s="22" t="str">
        <f t="shared" si="58"/>
        <v/>
      </c>
      <c r="K200" s="24">
        <v>2.0</v>
      </c>
      <c r="L200" s="24">
        <v>4.0</v>
      </c>
      <c r="P200" s="26">
        <v>3.0</v>
      </c>
      <c r="Q200" s="26">
        <v>1.0</v>
      </c>
      <c r="U200" s="28">
        <v>3.0</v>
      </c>
      <c r="V200" s="28">
        <v>3.0</v>
      </c>
      <c r="Z200" s="31">
        <v>0.0</v>
      </c>
      <c r="AA200" s="31">
        <v>0.0</v>
      </c>
      <c r="AF200" s="13">
        <f t="shared" si="59"/>
        <v>0</v>
      </c>
      <c r="AG200" s="33">
        <f t="shared" si="60"/>
        <v>0</v>
      </c>
      <c r="AH200" s="33">
        <f t="shared" si="61"/>
        <v>0</v>
      </c>
      <c r="AI200" s="33">
        <v>5.0</v>
      </c>
      <c r="AJ200" s="33">
        <v>3.0</v>
      </c>
      <c r="AK200" s="33">
        <v>7.0</v>
      </c>
      <c r="AL200" s="33">
        <v>9.0</v>
      </c>
    </row>
    <row r="201">
      <c r="A201" s="39" t="str">
        <f>IFERROR(__xludf.DUMMYFUNCTION("""COMPUTED_VALUE"""),"Rosa")</f>
        <v>Rosa</v>
      </c>
      <c r="B201" s="8"/>
      <c r="C201" s="8" t="str">
        <f t="shared" si="56"/>
        <v>-</v>
      </c>
      <c r="D201" s="8"/>
      <c r="E201" s="46" t="s">
        <v>2</v>
      </c>
      <c r="F201" s="22" t="str">
        <f t="shared" si="57"/>
        <v/>
      </c>
      <c r="G201" s="22" t="str">
        <f t="shared" si="58"/>
        <v/>
      </c>
      <c r="K201" s="24">
        <v>2.0</v>
      </c>
      <c r="L201" s="24">
        <v>4.0</v>
      </c>
      <c r="P201" s="26">
        <v>3.0</v>
      </c>
      <c r="Q201" s="26">
        <v>1.0</v>
      </c>
      <c r="U201" s="28">
        <v>3.0</v>
      </c>
      <c r="V201" s="28">
        <v>3.0</v>
      </c>
      <c r="Z201" s="31">
        <v>0.0</v>
      </c>
      <c r="AA201" s="31">
        <v>0.0</v>
      </c>
      <c r="AF201" s="13">
        <f t="shared" si="59"/>
        <v>0</v>
      </c>
      <c r="AG201" s="33">
        <f t="shared" si="60"/>
        <v>0</v>
      </c>
      <c r="AH201" s="33">
        <f t="shared" si="61"/>
        <v>0</v>
      </c>
      <c r="AI201" s="33">
        <v>5.0</v>
      </c>
      <c r="AJ201" s="33">
        <v>3.0</v>
      </c>
      <c r="AK201" s="33">
        <v>7.0</v>
      </c>
      <c r="AL201" s="33">
        <v>9.0</v>
      </c>
    </row>
    <row r="202">
      <c r="A202" s="39" t="str">
        <f>IFERROR(__xludf.DUMMYFUNCTION("""COMPUTED_VALUE"""),"Grön")</f>
        <v>Grön</v>
      </c>
      <c r="B202" s="22"/>
      <c r="C202" s="8" t="str">
        <f t="shared" si="56"/>
        <v>-</v>
      </c>
      <c r="D202" s="22"/>
      <c r="E202" s="46" t="s">
        <v>5</v>
      </c>
      <c r="F202" s="22"/>
      <c r="G202" s="22"/>
      <c r="K202" s="24">
        <v>2.0</v>
      </c>
      <c r="L202" s="24">
        <v>4.0</v>
      </c>
      <c r="P202" s="26">
        <v>3.0</v>
      </c>
      <c r="Q202" s="26">
        <v>1.0</v>
      </c>
      <c r="U202" s="28">
        <v>3.0</v>
      </c>
      <c r="V202" s="28">
        <v>3.0</v>
      </c>
      <c r="Z202" s="31">
        <v>0.0</v>
      </c>
      <c r="AA202" s="31">
        <v>0.0</v>
      </c>
      <c r="AF202" s="13">
        <f t="shared" si="59"/>
        <v>0</v>
      </c>
      <c r="AG202" s="33">
        <f t="shared" si="60"/>
        <v>0</v>
      </c>
      <c r="AH202" s="33">
        <f t="shared" si="61"/>
        <v>0</v>
      </c>
      <c r="AI202" s="33">
        <v>5.0</v>
      </c>
      <c r="AJ202" s="33">
        <v>3.0</v>
      </c>
      <c r="AK202" s="33">
        <v>7.0</v>
      </c>
      <c r="AL202" s="33">
        <v>9.0</v>
      </c>
    </row>
    <row r="203">
      <c r="A203" s="39"/>
      <c r="AH203" s="39"/>
      <c r="AI203" s="39"/>
      <c r="AJ203" s="39"/>
      <c r="AK203" s="39"/>
      <c r="AL203" s="39"/>
    </row>
    <row r="204">
      <c r="A204" s="40" t="str">
        <f>IFERROR(__xludf.DUMMYFUNCTION("""Gameweek "" &amp; (VALUE(REGEXEXTRACT(A184, ""Gameweek (\d+)"")) + 1)"),"Gameweek 11")</f>
        <v>Gameweek 11</v>
      </c>
      <c r="F204" s="40"/>
      <c r="G204" s="40"/>
      <c r="H204" s="41" t="str">
        <f>A204</f>
        <v>Gameweek 11</v>
      </c>
      <c r="K204" s="15" t="s">
        <v>21</v>
      </c>
      <c r="L204" s="15" t="s">
        <v>22</v>
      </c>
      <c r="M204" s="42" t="str">
        <f>A204</f>
        <v>Gameweek 11</v>
      </c>
      <c r="P204" s="16" t="s">
        <v>21</v>
      </c>
      <c r="Q204" s="16" t="s">
        <v>22</v>
      </c>
      <c r="R204" s="43" t="str">
        <f>A204</f>
        <v>Gameweek 11</v>
      </c>
      <c r="U204" s="17" t="s">
        <v>21</v>
      </c>
      <c r="V204" s="17" t="s">
        <v>22</v>
      </c>
      <c r="W204" s="44" t="str">
        <f>A204</f>
        <v>Gameweek 11</v>
      </c>
      <c r="Z204" s="18" t="s">
        <v>21</v>
      </c>
      <c r="AA204" s="18" t="s">
        <v>22</v>
      </c>
      <c r="AB204" s="45" t="str">
        <f>A204</f>
        <v>Gameweek 11</v>
      </c>
      <c r="AF204" s="19" t="s">
        <v>21</v>
      </c>
      <c r="AG204" s="19" t="s">
        <v>22</v>
      </c>
      <c r="AH204" s="19" t="s">
        <v>17</v>
      </c>
      <c r="AI204" s="19" t="s">
        <v>23</v>
      </c>
    </row>
    <row r="205">
      <c r="A205" s="47" t="str">
        <f>IFERROR(__xludf.DUMMYFUNCTION("IFERROR(ARRAYFORMULA(FLATTEN(SPLIT(REPT(TEXTJOIN("","", TRUE, FILTER({H$2, M$2, R$2}, {H205, M205, R205} &lt;&gt; """")) &amp; "","", CEILING(18 / COUNTA(FILTER({H$2, M$2, R$2}, {H205, M205, R205} &lt;&gt; """")))), "",""))), """")
"),"Blå")</f>
        <v>Blå</v>
      </c>
      <c r="B205" s="8">
        <v>0.0</v>
      </c>
      <c r="C205" s="8" t="str">
        <f t="shared" ref="C205:C222" si="62">IF(ISBLANK(A205), "", "-")
</f>
        <v>-</v>
      </c>
      <c r="D205" s="8">
        <v>0.0</v>
      </c>
      <c r="E205" s="48" t="str">
        <f t="array" ref="E205:E222">{A222; A205:A221}</f>
        <v>Grön</v>
      </c>
      <c r="F205" s="22" t="str">
        <f t="shared" ref="F205:F221" si="63">IF(AND(B205 &lt;&gt; "", D205 &lt;&gt; ""), IF(B205 &gt; D205, A205, IF(D205 &gt; B205, E205, "Oavgjort")), "")</f>
        <v>Oavgjort</v>
      </c>
      <c r="G205" s="22" t="str">
        <f t="shared" ref="G205:G221" si="64">IF(AND(B205 &lt;&gt; "", D205 &lt;&gt; ""), IF(B205 &lt; D205, A205, IF(D205 &lt; B205, E205, "Oavgjort")), "")
</f>
        <v>Oavgjort</v>
      </c>
      <c r="H205" s="52" t="s">
        <v>29</v>
      </c>
      <c r="I205" s="9">
        <v>0.0</v>
      </c>
      <c r="J205" s="9">
        <v>1.0</v>
      </c>
      <c r="K205" s="24">
        <f t="array" ref="K205:K222">IF(SEQUENCE(18, 1), COUNTIF(F205:F222, $H$2))
</f>
        <v>1</v>
      </c>
      <c r="L205" s="24">
        <f t="array" ref="L205:L222">IF(SEQUENCE(18, 1), COUNTIF(G205:G222, $H$2))
</f>
        <v>5</v>
      </c>
      <c r="M205" s="53" t="s">
        <v>52</v>
      </c>
      <c r="N205" s="10">
        <v>3.0</v>
      </c>
      <c r="O205" s="10">
        <v>2.0</v>
      </c>
      <c r="P205" s="26">
        <f t="array" ref="P205:P222">IF(SEQUENCE(18, 1), COUNTIF(F205:F222, $M$2))
</f>
        <v>3</v>
      </c>
      <c r="Q205" s="26">
        <f t="array" ref="Q205:Q222">IF(SEQUENCE(18, 1), COUNTIF(G205:G222, $M$2))
</f>
        <v>3</v>
      </c>
      <c r="R205" s="54" t="s">
        <v>49</v>
      </c>
      <c r="S205" s="11">
        <v>2.0</v>
      </c>
      <c r="T205" s="11">
        <v>1.0</v>
      </c>
      <c r="U205" s="28">
        <f t="array" ref="U205:U222">IF(SEQUENCE(18, 1), COUNTIF(F205:F222, $R$2))
</f>
        <v>5</v>
      </c>
      <c r="V205" s="28">
        <f t="array" ref="V205:V222">IF(SEQUENCE(18, 1), COUNTIF(G205:G222, $R$2))
</f>
        <v>1</v>
      </c>
      <c r="W205" s="50" t="s">
        <v>40</v>
      </c>
      <c r="X205" s="30">
        <v>0.0</v>
      </c>
      <c r="Y205" s="30">
        <v>3.0</v>
      </c>
      <c r="Z205" s="31">
        <f t="array" ref="Z205:Z222">IF(SEQUENCE(18, 1), COUNTIF(F205:F222, $W$2))
</f>
        <v>0</v>
      </c>
      <c r="AA205" s="31">
        <f t="array" ref="AA205:AA222">IF(SEQUENCE(18, 1), COUNTIF(G205:G222, $W$2))
</f>
        <v>0</v>
      </c>
      <c r="AB205" s="32" t="s">
        <v>9</v>
      </c>
      <c r="AC205" s="32" t="s">
        <v>42</v>
      </c>
      <c r="AD205" s="13">
        <v>0.0</v>
      </c>
      <c r="AE205" s="13">
        <v>0.0</v>
      </c>
      <c r="AF205" s="13">
        <f t="shared" ref="AF205:AF222" si="65">IF(AB205 = "Borta", AJ205, (IF(AB205 = "Hemma", AI205, 0)))</f>
        <v>7</v>
      </c>
      <c r="AG205" s="33">
        <f t="shared" ref="AG205:AG222" si="66">IF(AB205 = "Hemma", AJ205, (IF(AB205 = "Borta", AI205, 0)))</f>
        <v>2</v>
      </c>
      <c r="AH205" s="33">
        <f t="shared" ref="AH205:AH222" si="67">IF(AB205 = "Borta", AK205, (IF(AB205 = "Hemma", AL205, 0)))</f>
        <v>6</v>
      </c>
      <c r="AI205" s="33">
        <f t="array" ref="AI205:AI222">IF(F205 &lt;&gt; "",
     SEQUENCE(18,1,1,0)*SUM(IF(A205:A222 = F205:F222, 1, 0)),
     SEQUENCE(18,1,0,0)
  )</f>
        <v>7</v>
      </c>
      <c r="AJ205" s="33">
        <f t="array" ref="AJ205:AJ222">IF(G205 &lt;&gt; "",
     SEQUENCE(18,1,1,0)*SUM(IF(E205:E222 = F205:F222, 1, 0)),
     SEQUENCE(18,1,0,0)
  )</f>
        <v>2</v>
      </c>
      <c r="AK205" s="33">
        <f t="array" ref="AK205:AK222">IF(SEQUENCE(18, 1), COUNTIF(B205:B222, 0))</f>
        <v>3</v>
      </c>
      <c r="AL205" s="33">
        <f t="array" ref="AL205:AL222">IF(SEQUENCE(18, 1), COUNTIF(D205:D222, 0))</f>
        <v>6</v>
      </c>
    </row>
    <row r="206">
      <c r="A206" s="20" t="str">
        <f>IFERROR(__xludf.DUMMYFUNCTION("""COMPUTED_VALUE"""),"Rosa")</f>
        <v>Rosa</v>
      </c>
      <c r="B206" s="8">
        <v>1.0</v>
      </c>
      <c r="C206" s="8" t="str">
        <f t="shared" si="62"/>
        <v>-</v>
      </c>
      <c r="D206" s="8">
        <v>0.0</v>
      </c>
      <c r="E206" s="21" t="s">
        <v>2</v>
      </c>
      <c r="F206" s="22" t="str">
        <f t="shared" si="63"/>
        <v>Rosa</v>
      </c>
      <c r="G206" s="22" t="str">
        <f t="shared" si="64"/>
        <v>Blå</v>
      </c>
      <c r="H206" s="52" t="s">
        <v>53</v>
      </c>
      <c r="I206" s="9">
        <v>0.0</v>
      </c>
      <c r="J206" s="9">
        <v>0.0</v>
      </c>
      <c r="K206" s="24">
        <v>1.0</v>
      </c>
      <c r="L206" s="24">
        <v>5.0</v>
      </c>
      <c r="M206" s="53" t="s">
        <v>58</v>
      </c>
      <c r="N206" s="10">
        <v>0.0</v>
      </c>
      <c r="O206" s="10">
        <v>3.0</v>
      </c>
      <c r="P206" s="26">
        <v>3.0</v>
      </c>
      <c r="Q206" s="26">
        <v>3.0</v>
      </c>
      <c r="R206" s="55" t="s">
        <v>36</v>
      </c>
      <c r="S206" s="11">
        <v>1.0</v>
      </c>
      <c r="T206" s="11">
        <v>4.0</v>
      </c>
      <c r="U206" s="28">
        <v>5.0</v>
      </c>
      <c r="V206" s="28">
        <v>1.0</v>
      </c>
      <c r="W206" s="50"/>
      <c r="X206" s="30">
        <v>0.0</v>
      </c>
      <c r="Y206" s="30">
        <v>0.0</v>
      </c>
      <c r="Z206" s="31">
        <v>0.0</v>
      </c>
      <c r="AA206" s="31">
        <v>0.0</v>
      </c>
      <c r="AB206" s="32" t="s">
        <v>11</v>
      </c>
      <c r="AC206" s="32" t="s">
        <v>30</v>
      </c>
      <c r="AD206" s="13">
        <v>0.0</v>
      </c>
      <c r="AE206" s="13">
        <v>0.0</v>
      </c>
      <c r="AF206" s="13">
        <f t="shared" si="65"/>
        <v>2</v>
      </c>
      <c r="AG206" s="33">
        <f t="shared" si="66"/>
        <v>7</v>
      </c>
      <c r="AH206" s="33">
        <f t="shared" si="67"/>
        <v>3</v>
      </c>
      <c r="AI206" s="33">
        <v>7.0</v>
      </c>
      <c r="AJ206" s="33">
        <v>2.0</v>
      </c>
      <c r="AK206" s="33">
        <v>3.0</v>
      </c>
      <c r="AL206" s="33">
        <v>6.0</v>
      </c>
    </row>
    <row r="207">
      <c r="A207" s="20" t="str">
        <f>IFERROR(__xludf.DUMMYFUNCTION("""COMPUTED_VALUE"""),"Grön")</f>
        <v>Grön</v>
      </c>
      <c r="B207" s="8">
        <v>2.0</v>
      </c>
      <c r="C207" s="8" t="str">
        <f t="shared" si="62"/>
        <v>-</v>
      </c>
      <c r="D207" s="8">
        <v>0.0</v>
      </c>
      <c r="E207" s="21" t="s">
        <v>5</v>
      </c>
      <c r="F207" s="22" t="str">
        <f t="shared" si="63"/>
        <v>Grön</v>
      </c>
      <c r="G207" s="22" t="str">
        <f t="shared" si="64"/>
        <v>Rosa</v>
      </c>
      <c r="H207" s="52" t="s">
        <v>34</v>
      </c>
      <c r="I207" s="9">
        <v>0.0</v>
      </c>
      <c r="J207" s="9">
        <v>0.0</v>
      </c>
      <c r="K207" s="24">
        <v>1.0</v>
      </c>
      <c r="L207" s="24">
        <v>5.0</v>
      </c>
      <c r="M207" s="53" t="s">
        <v>25</v>
      </c>
      <c r="N207" s="10">
        <v>2.0</v>
      </c>
      <c r="O207" s="10">
        <v>0.0</v>
      </c>
      <c r="P207" s="26">
        <v>3.0</v>
      </c>
      <c r="Q207" s="26">
        <v>3.0</v>
      </c>
      <c r="R207" s="54" t="s">
        <v>55</v>
      </c>
      <c r="S207" s="11">
        <v>3.0</v>
      </c>
      <c r="T207" s="11">
        <v>0.0</v>
      </c>
      <c r="U207" s="28">
        <v>5.0</v>
      </c>
      <c r="V207" s="28">
        <v>1.0</v>
      </c>
      <c r="W207" s="29"/>
      <c r="X207" s="30">
        <v>0.0</v>
      </c>
      <c r="Y207" s="30">
        <v>0.0</v>
      </c>
      <c r="Z207" s="31">
        <v>0.0</v>
      </c>
      <c r="AA207" s="31">
        <v>0.0</v>
      </c>
      <c r="AB207" s="34"/>
      <c r="AF207" s="13">
        <f t="shared" si="65"/>
        <v>0</v>
      </c>
      <c r="AG207" s="33">
        <f t="shared" si="66"/>
        <v>0</v>
      </c>
      <c r="AH207" s="33">
        <f t="shared" si="67"/>
        <v>0</v>
      </c>
      <c r="AI207" s="33">
        <v>7.0</v>
      </c>
      <c r="AJ207" s="33">
        <v>2.0</v>
      </c>
      <c r="AK207" s="33">
        <v>3.0</v>
      </c>
      <c r="AL207" s="33">
        <v>6.0</v>
      </c>
    </row>
    <row r="208">
      <c r="A208" s="20" t="str">
        <f>IFERROR(__xludf.DUMMYFUNCTION("""COMPUTED_VALUE"""),"Blå")</f>
        <v>Blå</v>
      </c>
      <c r="B208" s="8">
        <v>0.0</v>
      </c>
      <c r="C208" s="8" t="str">
        <f t="shared" si="62"/>
        <v>-</v>
      </c>
      <c r="D208" s="8">
        <v>1.0</v>
      </c>
      <c r="E208" s="21" t="s">
        <v>6</v>
      </c>
      <c r="F208" s="22" t="str">
        <f t="shared" si="63"/>
        <v>Grön</v>
      </c>
      <c r="G208" s="22" t="str">
        <f t="shared" si="64"/>
        <v>Blå</v>
      </c>
      <c r="H208" s="23" t="s">
        <v>66</v>
      </c>
      <c r="I208" s="9">
        <v>1.0</v>
      </c>
      <c r="J208" s="9">
        <v>0.0</v>
      </c>
      <c r="K208" s="24">
        <v>1.0</v>
      </c>
      <c r="L208" s="24">
        <v>5.0</v>
      </c>
      <c r="M208" s="53" t="s">
        <v>44</v>
      </c>
      <c r="N208" s="10">
        <v>0.0</v>
      </c>
      <c r="O208" s="10">
        <v>0.0</v>
      </c>
      <c r="P208" s="26">
        <v>3.0</v>
      </c>
      <c r="Q208" s="26">
        <v>3.0</v>
      </c>
      <c r="R208" s="54" t="s">
        <v>69</v>
      </c>
      <c r="S208" s="11">
        <v>1.0</v>
      </c>
      <c r="T208" s="11">
        <v>1.0</v>
      </c>
      <c r="U208" s="28">
        <v>5.0</v>
      </c>
      <c r="V208" s="28">
        <v>1.0</v>
      </c>
      <c r="W208" s="29"/>
      <c r="X208" s="30">
        <v>0.0</v>
      </c>
      <c r="Y208" s="30">
        <v>0.0</v>
      </c>
      <c r="Z208" s="31">
        <v>0.0</v>
      </c>
      <c r="AA208" s="31">
        <v>0.0</v>
      </c>
      <c r="AF208" s="13">
        <f t="shared" si="65"/>
        <v>0</v>
      </c>
      <c r="AG208" s="33">
        <f t="shared" si="66"/>
        <v>0</v>
      </c>
      <c r="AH208" s="33">
        <f t="shared" si="67"/>
        <v>0</v>
      </c>
      <c r="AI208" s="33">
        <v>7.0</v>
      </c>
      <c r="AJ208" s="33">
        <v>2.0</v>
      </c>
      <c r="AK208" s="33">
        <v>3.0</v>
      </c>
      <c r="AL208" s="33">
        <v>6.0</v>
      </c>
    </row>
    <row r="209">
      <c r="A209" s="20" t="str">
        <f>IFERROR(__xludf.DUMMYFUNCTION("""COMPUTED_VALUE"""),"Rosa")</f>
        <v>Rosa</v>
      </c>
      <c r="B209" s="8">
        <v>3.0</v>
      </c>
      <c r="C209" s="8" t="str">
        <f t="shared" si="62"/>
        <v>-</v>
      </c>
      <c r="D209" s="8">
        <v>0.0</v>
      </c>
      <c r="E209" s="21" t="s">
        <v>2</v>
      </c>
      <c r="F209" s="22" t="str">
        <f t="shared" si="63"/>
        <v>Rosa</v>
      </c>
      <c r="G209" s="22" t="str">
        <f t="shared" si="64"/>
        <v>Blå</v>
      </c>
      <c r="H209" s="23" t="s">
        <v>26</v>
      </c>
      <c r="I209" s="9">
        <v>1.0</v>
      </c>
      <c r="J209" s="9">
        <v>1.0</v>
      </c>
      <c r="K209" s="24">
        <v>1.0</v>
      </c>
      <c r="L209" s="24">
        <v>5.0</v>
      </c>
      <c r="M209" s="25" t="s">
        <v>35</v>
      </c>
      <c r="N209" s="10">
        <v>2.0</v>
      </c>
      <c r="O209" s="10">
        <v>0.0</v>
      </c>
      <c r="P209" s="26">
        <v>3.0</v>
      </c>
      <c r="Q209" s="26">
        <v>3.0</v>
      </c>
      <c r="R209" s="27" t="s">
        <v>45</v>
      </c>
      <c r="S209" s="11">
        <v>1.0</v>
      </c>
      <c r="T209" s="11">
        <v>0.0</v>
      </c>
      <c r="U209" s="28">
        <v>5.0</v>
      </c>
      <c r="V209" s="28">
        <v>1.0</v>
      </c>
      <c r="W209" s="29"/>
      <c r="X209" s="30">
        <v>0.0</v>
      </c>
      <c r="Y209" s="30">
        <v>0.0</v>
      </c>
      <c r="Z209" s="31">
        <v>0.0</v>
      </c>
      <c r="AA209" s="31">
        <v>0.0</v>
      </c>
      <c r="AF209" s="13">
        <f t="shared" si="65"/>
        <v>0</v>
      </c>
      <c r="AG209" s="33">
        <f t="shared" si="66"/>
        <v>0</v>
      </c>
      <c r="AH209" s="33">
        <f t="shared" si="67"/>
        <v>0</v>
      </c>
      <c r="AI209" s="33">
        <v>7.0</v>
      </c>
      <c r="AJ209" s="33">
        <v>2.0</v>
      </c>
      <c r="AK209" s="33">
        <v>3.0</v>
      </c>
      <c r="AL209" s="33">
        <v>6.0</v>
      </c>
    </row>
    <row r="210">
      <c r="A210" s="20" t="str">
        <f>IFERROR(__xludf.DUMMYFUNCTION("""COMPUTED_VALUE"""),"Grön")</f>
        <v>Grön</v>
      </c>
      <c r="B210" s="8">
        <v>2.0</v>
      </c>
      <c r="C210" s="8" t="str">
        <f t="shared" si="62"/>
        <v>-</v>
      </c>
      <c r="D210" s="8">
        <v>1.0</v>
      </c>
      <c r="E210" s="21" t="s">
        <v>5</v>
      </c>
      <c r="F210" s="22" t="str">
        <f t="shared" si="63"/>
        <v>Grön</v>
      </c>
      <c r="G210" s="22" t="str">
        <f t="shared" si="64"/>
        <v>Rosa</v>
      </c>
      <c r="H210" s="38"/>
      <c r="I210" s="9">
        <v>0.0</v>
      </c>
      <c r="J210" s="9">
        <v>0.0</v>
      </c>
      <c r="K210" s="24">
        <v>1.0</v>
      </c>
      <c r="L210" s="24">
        <v>5.0</v>
      </c>
      <c r="M210" s="35"/>
      <c r="N210" s="10">
        <v>0.0</v>
      </c>
      <c r="O210" s="10">
        <v>0.0</v>
      </c>
      <c r="P210" s="26">
        <v>3.0</v>
      </c>
      <c r="Q210" s="26">
        <v>3.0</v>
      </c>
      <c r="R210" s="36"/>
      <c r="S210" s="11">
        <v>0.0</v>
      </c>
      <c r="T210" s="11">
        <v>0.0</v>
      </c>
      <c r="U210" s="28">
        <v>5.0</v>
      </c>
      <c r="V210" s="28">
        <v>1.0</v>
      </c>
      <c r="W210" s="29"/>
      <c r="X210" s="30">
        <v>0.0</v>
      </c>
      <c r="Y210" s="30">
        <v>0.0</v>
      </c>
      <c r="Z210" s="31">
        <v>0.0</v>
      </c>
      <c r="AA210" s="31">
        <v>0.0</v>
      </c>
      <c r="AF210" s="13">
        <f t="shared" si="65"/>
        <v>0</v>
      </c>
      <c r="AG210" s="33">
        <f t="shared" si="66"/>
        <v>0</v>
      </c>
      <c r="AH210" s="33">
        <f t="shared" si="67"/>
        <v>0</v>
      </c>
      <c r="AI210" s="33">
        <v>7.0</v>
      </c>
      <c r="AJ210" s="33">
        <v>2.0</v>
      </c>
      <c r="AK210" s="33">
        <v>3.0</v>
      </c>
      <c r="AL210" s="33">
        <v>6.0</v>
      </c>
    </row>
    <row r="211">
      <c r="A211" s="20" t="str">
        <f>IFERROR(__xludf.DUMMYFUNCTION("""COMPUTED_VALUE"""),"Blå")</f>
        <v>Blå</v>
      </c>
      <c r="B211" s="8">
        <v>2.0</v>
      </c>
      <c r="C211" s="8" t="str">
        <f t="shared" si="62"/>
        <v>-</v>
      </c>
      <c r="D211" s="8">
        <v>1.0</v>
      </c>
      <c r="E211" s="21" t="s">
        <v>6</v>
      </c>
      <c r="F211" s="22" t="str">
        <f t="shared" si="63"/>
        <v>Blå</v>
      </c>
      <c r="G211" s="22" t="str">
        <f t="shared" si="64"/>
        <v>Grön</v>
      </c>
      <c r="H211" s="23"/>
      <c r="I211" s="9">
        <v>0.0</v>
      </c>
      <c r="J211" s="9">
        <v>0.0</v>
      </c>
      <c r="K211" s="24">
        <v>1.0</v>
      </c>
      <c r="L211" s="24">
        <v>5.0</v>
      </c>
      <c r="M211" s="35"/>
      <c r="N211" s="10">
        <v>0.0</v>
      </c>
      <c r="O211" s="10">
        <v>0.0</v>
      </c>
      <c r="P211" s="26">
        <v>3.0</v>
      </c>
      <c r="Q211" s="26">
        <v>3.0</v>
      </c>
      <c r="R211" s="36"/>
      <c r="S211" s="11">
        <v>0.0</v>
      </c>
      <c r="T211" s="11">
        <v>0.0</v>
      </c>
      <c r="U211" s="28">
        <v>5.0</v>
      </c>
      <c r="V211" s="28">
        <v>1.0</v>
      </c>
      <c r="W211" s="29"/>
      <c r="X211" s="30">
        <v>0.0</v>
      </c>
      <c r="Y211" s="30">
        <v>0.0</v>
      </c>
      <c r="Z211" s="31">
        <v>0.0</v>
      </c>
      <c r="AA211" s="31">
        <v>0.0</v>
      </c>
      <c r="AF211" s="13">
        <f t="shared" si="65"/>
        <v>0</v>
      </c>
      <c r="AG211" s="33">
        <f t="shared" si="66"/>
        <v>0</v>
      </c>
      <c r="AH211" s="33">
        <f t="shared" si="67"/>
        <v>0</v>
      </c>
      <c r="AI211" s="33">
        <v>7.0</v>
      </c>
      <c r="AJ211" s="33">
        <v>2.0</v>
      </c>
      <c r="AK211" s="33">
        <v>3.0</v>
      </c>
      <c r="AL211" s="33">
        <v>6.0</v>
      </c>
    </row>
    <row r="212">
      <c r="A212" s="20" t="str">
        <f>IFERROR(__xludf.DUMMYFUNCTION("""COMPUTED_VALUE"""),"Rosa")</f>
        <v>Rosa</v>
      </c>
      <c r="B212" s="8">
        <v>1.0</v>
      </c>
      <c r="C212" s="8" t="str">
        <f t="shared" si="62"/>
        <v>-</v>
      </c>
      <c r="D212" s="8">
        <v>0.0</v>
      </c>
      <c r="E212" s="21" t="s">
        <v>2</v>
      </c>
      <c r="F212" s="22" t="str">
        <f t="shared" si="63"/>
        <v>Rosa</v>
      </c>
      <c r="G212" s="22" t="str">
        <f t="shared" si="64"/>
        <v>Blå</v>
      </c>
      <c r="H212" s="38"/>
      <c r="K212" s="24">
        <v>1.0</v>
      </c>
      <c r="L212" s="24">
        <v>5.0</v>
      </c>
      <c r="M212" s="35"/>
      <c r="P212" s="26">
        <v>3.0</v>
      </c>
      <c r="Q212" s="26">
        <v>3.0</v>
      </c>
      <c r="R212" s="36"/>
      <c r="U212" s="28">
        <v>5.0</v>
      </c>
      <c r="V212" s="28">
        <v>1.0</v>
      </c>
      <c r="W212" s="37"/>
      <c r="Z212" s="31">
        <v>0.0</v>
      </c>
      <c r="AA212" s="31">
        <v>0.0</v>
      </c>
      <c r="AF212" s="13">
        <f t="shared" si="65"/>
        <v>0</v>
      </c>
      <c r="AG212" s="33">
        <f t="shared" si="66"/>
        <v>0</v>
      </c>
      <c r="AH212" s="33">
        <f t="shared" si="67"/>
        <v>0</v>
      </c>
      <c r="AI212" s="33">
        <v>7.0</v>
      </c>
      <c r="AJ212" s="33">
        <v>2.0</v>
      </c>
      <c r="AK212" s="33">
        <v>3.0</v>
      </c>
      <c r="AL212" s="33">
        <v>6.0</v>
      </c>
    </row>
    <row r="213">
      <c r="A213" s="20" t="str">
        <f>IFERROR(__xludf.DUMMYFUNCTION("""COMPUTED_VALUE"""),"Grön")</f>
        <v>Grön</v>
      </c>
      <c r="B213" s="8">
        <v>1.0</v>
      </c>
      <c r="C213" s="8" t="str">
        <f t="shared" si="62"/>
        <v>-</v>
      </c>
      <c r="D213" s="8">
        <v>0.0</v>
      </c>
      <c r="E213" s="21" t="s">
        <v>5</v>
      </c>
      <c r="F213" s="22" t="str">
        <f t="shared" si="63"/>
        <v>Grön</v>
      </c>
      <c r="G213" s="22" t="str">
        <f t="shared" si="64"/>
        <v>Rosa</v>
      </c>
      <c r="K213" s="24">
        <v>1.0</v>
      </c>
      <c r="L213" s="24">
        <v>5.0</v>
      </c>
      <c r="P213" s="26">
        <v>3.0</v>
      </c>
      <c r="Q213" s="26">
        <v>3.0</v>
      </c>
      <c r="U213" s="28">
        <v>5.0</v>
      </c>
      <c r="V213" s="28">
        <v>1.0</v>
      </c>
      <c r="Z213" s="31">
        <v>0.0</v>
      </c>
      <c r="AA213" s="31">
        <v>0.0</v>
      </c>
      <c r="AF213" s="13">
        <f t="shared" si="65"/>
        <v>0</v>
      </c>
      <c r="AG213" s="33">
        <f t="shared" si="66"/>
        <v>0</v>
      </c>
      <c r="AH213" s="33">
        <f t="shared" si="67"/>
        <v>0</v>
      </c>
      <c r="AI213" s="33">
        <v>7.0</v>
      </c>
      <c r="AJ213" s="33">
        <v>2.0</v>
      </c>
      <c r="AK213" s="33">
        <v>3.0</v>
      </c>
      <c r="AL213" s="33">
        <v>6.0</v>
      </c>
    </row>
    <row r="214">
      <c r="A214" s="20" t="str">
        <f>IFERROR(__xludf.DUMMYFUNCTION("""COMPUTED_VALUE"""),"Blå")</f>
        <v>Blå</v>
      </c>
      <c r="B214" s="8">
        <v>0.0</v>
      </c>
      <c r="C214" s="8" t="str">
        <f t="shared" si="62"/>
        <v>-</v>
      </c>
      <c r="D214" s="8">
        <v>1.0</v>
      </c>
      <c r="E214" s="21" t="s">
        <v>6</v>
      </c>
      <c r="F214" s="22" t="str">
        <f t="shared" si="63"/>
        <v>Grön</v>
      </c>
      <c r="G214" s="22" t="str">
        <f t="shared" si="64"/>
        <v>Blå</v>
      </c>
      <c r="K214" s="24">
        <v>1.0</v>
      </c>
      <c r="L214" s="24">
        <v>5.0</v>
      </c>
      <c r="P214" s="26">
        <v>3.0</v>
      </c>
      <c r="Q214" s="26">
        <v>3.0</v>
      </c>
      <c r="U214" s="28">
        <v>5.0</v>
      </c>
      <c r="V214" s="28">
        <v>1.0</v>
      </c>
      <c r="Z214" s="31">
        <v>0.0</v>
      </c>
      <c r="AA214" s="31">
        <v>0.0</v>
      </c>
      <c r="AF214" s="13">
        <f t="shared" si="65"/>
        <v>0</v>
      </c>
      <c r="AG214" s="33">
        <f t="shared" si="66"/>
        <v>0</v>
      </c>
      <c r="AH214" s="33">
        <f t="shared" si="67"/>
        <v>0</v>
      </c>
      <c r="AI214" s="33">
        <v>7.0</v>
      </c>
      <c r="AJ214" s="33">
        <v>2.0</v>
      </c>
      <c r="AK214" s="33">
        <v>3.0</v>
      </c>
      <c r="AL214" s="33">
        <v>6.0</v>
      </c>
    </row>
    <row r="215">
      <c r="A215" s="20" t="str">
        <f>IFERROR(__xludf.DUMMYFUNCTION("""COMPUTED_VALUE"""),"Rosa")</f>
        <v>Rosa</v>
      </c>
      <c r="B215" s="8">
        <v>1.0</v>
      </c>
      <c r="C215" s="8" t="str">
        <f t="shared" si="62"/>
        <v>-</v>
      </c>
      <c r="D215" s="8">
        <v>1.0</v>
      </c>
      <c r="E215" s="21" t="s">
        <v>2</v>
      </c>
      <c r="F215" s="22" t="str">
        <f t="shared" si="63"/>
        <v>Oavgjort</v>
      </c>
      <c r="G215" s="22" t="str">
        <f t="shared" si="64"/>
        <v>Oavgjort</v>
      </c>
      <c r="K215" s="24">
        <v>1.0</v>
      </c>
      <c r="L215" s="24">
        <v>5.0</v>
      </c>
      <c r="P215" s="26">
        <v>3.0</v>
      </c>
      <c r="Q215" s="26">
        <v>3.0</v>
      </c>
      <c r="U215" s="28">
        <v>5.0</v>
      </c>
      <c r="V215" s="28">
        <v>1.0</v>
      </c>
      <c r="Z215" s="31">
        <v>0.0</v>
      </c>
      <c r="AA215" s="31">
        <v>0.0</v>
      </c>
      <c r="AF215" s="13">
        <f t="shared" si="65"/>
        <v>0</v>
      </c>
      <c r="AG215" s="33">
        <f t="shared" si="66"/>
        <v>0</v>
      </c>
      <c r="AH215" s="33">
        <f t="shared" si="67"/>
        <v>0</v>
      </c>
      <c r="AI215" s="33">
        <v>7.0</v>
      </c>
      <c r="AJ215" s="33">
        <v>2.0</v>
      </c>
      <c r="AK215" s="33">
        <v>3.0</v>
      </c>
      <c r="AL215" s="33">
        <v>6.0</v>
      </c>
    </row>
    <row r="216">
      <c r="A216" s="20" t="str">
        <f>IFERROR(__xludf.DUMMYFUNCTION("""COMPUTED_VALUE"""),"Grön")</f>
        <v>Grön</v>
      </c>
      <c r="B216" s="8"/>
      <c r="C216" s="8" t="str">
        <f t="shared" si="62"/>
        <v>-</v>
      </c>
      <c r="D216" s="8"/>
      <c r="E216" s="21" t="s">
        <v>5</v>
      </c>
      <c r="F216" s="22" t="str">
        <f t="shared" si="63"/>
        <v/>
      </c>
      <c r="G216" s="22" t="str">
        <f t="shared" si="64"/>
        <v/>
      </c>
      <c r="K216" s="24">
        <v>1.0</v>
      </c>
      <c r="L216" s="24">
        <v>5.0</v>
      </c>
      <c r="P216" s="26">
        <v>3.0</v>
      </c>
      <c r="Q216" s="26">
        <v>3.0</v>
      </c>
      <c r="U216" s="28">
        <v>5.0</v>
      </c>
      <c r="V216" s="28">
        <v>1.0</v>
      </c>
      <c r="Z216" s="31">
        <v>0.0</v>
      </c>
      <c r="AA216" s="31">
        <v>0.0</v>
      </c>
      <c r="AF216" s="13">
        <f t="shared" si="65"/>
        <v>0</v>
      </c>
      <c r="AG216" s="33">
        <f t="shared" si="66"/>
        <v>0</v>
      </c>
      <c r="AH216" s="33">
        <f t="shared" si="67"/>
        <v>0</v>
      </c>
      <c r="AI216" s="33">
        <v>7.0</v>
      </c>
      <c r="AJ216" s="33">
        <v>2.0</v>
      </c>
      <c r="AK216" s="33">
        <v>3.0</v>
      </c>
      <c r="AL216" s="33">
        <v>6.0</v>
      </c>
    </row>
    <row r="217">
      <c r="A217" s="20" t="str">
        <f>IFERROR(__xludf.DUMMYFUNCTION("""COMPUTED_VALUE"""),"Blå")</f>
        <v>Blå</v>
      </c>
      <c r="B217" s="8"/>
      <c r="C217" s="8" t="str">
        <f t="shared" si="62"/>
        <v>-</v>
      </c>
      <c r="D217" s="8"/>
      <c r="E217" s="21" t="s">
        <v>6</v>
      </c>
      <c r="F217" s="22" t="str">
        <f t="shared" si="63"/>
        <v/>
      </c>
      <c r="G217" s="22" t="str">
        <f t="shared" si="64"/>
        <v/>
      </c>
      <c r="K217" s="24">
        <v>1.0</v>
      </c>
      <c r="L217" s="24">
        <v>5.0</v>
      </c>
      <c r="P217" s="26">
        <v>3.0</v>
      </c>
      <c r="Q217" s="26">
        <v>3.0</v>
      </c>
      <c r="U217" s="28">
        <v>5.0</v>
      </c>
      <c r="V217" s="28">
        <v>1.0</v>
      </c>
      <c r="Z217" s="31">
        <v>0.0</v>
      </c>
      <c r="AA217" s="31">
        <v>0.0</v>
      </c>
      <c r="AF217" s="13">
        <f t="shared" si="65"/>
        <v>0</v>
      </c>
      <c r="AG217" s="33">
        <f t="shared" si="66"/>
        <v>0</v>
      </c>
      <c r="AH217" s="33">
        <f t="shared" si="67"/>
        <v>0</v>
      </c>
      <c r="AI217" s="33">
        <v>7.0</v>
      </c>
      <c r="AJ217" s="33">
        <v>2.0</v>
      </c>
      <c r="AK217" s="33">
        <v>3.0</v>
      </c>
      <c r="AL217" s="33">
        <v>6.0</v>
      </c>
    </row>
    <row r="218">
      <c r="A218" s="20" t="str">
        <f>IFERROR(__xludf.DUMMYFUNCTION("""COMPUTED_VALUE"""),"Rosa")</f>
        <v>Rosa</v>
      </c>
      <c r="B218" s="8"/>
      <c r="C218" s="8" t="str">
        <f t="shared" si="62"/>
        <v>-</v>
      </c>
      <c r="D218" s="8"/>
      <c r="E218" s="21" t="s">
        <v>2</v>
      </c>
      <c r="F218" s="22" t="str">
        <f t="shared" si="63"/>
        <v/>
      </c>
      <c r="G218" s="22" t="str">
        <f t="shared" si="64"/>
        <v/>
      </c>
      <c r="K218" s="24">
        <v>1.0</v>
      </c>
      <c r="L218" s="24">
        <v>5.0</v>
      </c>
      <c r="P218" s="26">
        <v>3.0</v>
      </c>
      <c r="Q218" s="26">
        <v>3.0</v>
      </c>
      <c r="U218" s="28">
        <v>5.0</v>
      </c>
      <c r="V218" s="28">
        <v>1.0</v>
      </c>
      <c r="Z218" s="31">
        <v>0.0</v>
      </c>
      <c r="AA218" s="31">
        <v>0.0</v>
      </c>
      <c r="AF218" s="13">
        <f t="shared" si="65"/>
        <v>0</v>
      </c>
      <c r="AG218" s="33">
        <f t="shared" si="66"/>
        <v>0</v>
      </c>
      <c r="AH218" s="33">
        <f t="shared" si="67"/>
        <v>0</v>
      </c>
      <c r="AI218" s="33">
        <v>7.0</v>
      </c>
      <c r="AJ218" s="33">
        <v>2.0</v>
      </c>
      <c r="AK218" s="33">
        <v>3.0</v>
      </c>
      <c r="AL218" s="33">
        <v>6.0</v>
      </c>
    </row>
    <row r="219">
      <c r="A219" s="20" t="str">
        <f>IFERROR(__xludf.DUMMYFUNCTION("""COMPUTED_VALUE"""),"Grön")</f>
        <v>Grön</v>
      </c>
      <c r="B219" s="8"/>
      <c r="C219" s="8" t="str">
        <f t="shared" si="62"/>
        <v>-</v>
      </c>
      <c r="D219" s="8"/>
      <c r="E219" s="21" t="s">
        <v>5</v>
      </c>
      <c r="F219" s="22" t="str">
        <f t="shared" si="63"/>
        <v/>
      </c>
      <c r="G219" s="22" t="str">
        <f t="shared" si="64"/>
        <v/>
      </c>
      <c r="K219" s="24">
        <v>1.0</v>
      </c>
      <c r="L219" s="24">
        <v>5.0</v>
      </c>
      <c r="P219" s="26">
        <v>3.0</v>
      </c>
      <c r="Q219" s="26">
        <v>3.0</v>
      </c>
      <c r="U219" s="28">
        <v>5.0</v>
      </c>
      <c r="V219" s="28">
        <v>1.0</v>
      </c>
      <c r="Z219" s="31">
        <v>0.0</v>
      </c>
      <c r="AA219" s="31">
        <v>0.0</v>
      </c>
      <c r="AF219" s="13">
        <f t="shared" si="65"/>
        <v>0</v>
      </c>
      <c r="AG219" s="33">
        <f t="shared" si="66"/>
        <v>0</v>
      </c>
      <c r="AH219" s="33">
        <f t="shared" si="67"/>
        <v>0</v>
      </c>
      <c r="AI219" s="33">
        <v>7.0</v>
      </c>
      <c r="AJ219" s="33">
        <v>2.0</v>
      </c>
      <c r="AK219" s="33">
        <v>3.0</v>
      </c>
      <c r="AL219" s="33">
        <v>6.0</v>
      </c>
    </row>
    <row r="220">
      <c r="A220" s="20" t="str">
        <f>IFERROR(__xludf.DUMMYFUNCTION("""COMPUTED_VALUE"""),"Blå")</f>
        <v>Blå</v>
      </c>
      <c r="B220" s="8"/>
      <c r="C220" s="8" t="str">
        <f t="shared" si="62"/>
        <v>-</v>
      </c>
      <c r="D220" s="22"/>
      <c r="E220" s="21" t="s">
        <v>6</v>
      </c>
      <c r="F220" s="22" t="str">
        <f t="shared" si="63"/>
        <v/>
      </c>
      <c r="G220" s="22" t="str">
        <f t="shared" si="64"/>
        <v/>
      </c>
      <c r="K220" s="24">
        <v>1.0</v>
      </c>
      <c r="L220" s="24">
        <v>5.0</v>
      </c>
      <c r="P220" s="26">
        <v>3.0</v>
      </c>
      <c r="Q220" s="26">
        <v>3.0</v>
      </c>
      <c r="U220" s="28">
        <v>5.0</v>
      </c>
      <c r="V220" s="28">
        <v>1.0</v>
      </c>
      <c r="Z220" s="31">
        <v>0.0</v>
      </c>
      <c r="AA220" s="31">
        <v>0.0</v>
      </c>
      <c r="AF220" s="13">
        <f t="shared" si="65"/>
        <v>0</v>
      </c>
      <c r="AG220" s="33">
        <f t="shared" si="66"/>
        <v>0</v>
      </c>
      <c r="AH220" s="33">
        <f t="shared" si="67"/>
        <v>0</v>
      </c>
      <c r="AI220" s="33">
        <v>7.0</v>
      </c>
      <c r="AJ220" s="33">
        <v>2.0</v>
      </c>
      <c r="AK220" s="33">
        <v>3.0</v>
      </c>
      <c r="AL220" s="33">
        <v>6.0</v>
      </c>
    </row>
    <row r="221">
      <c r="A221" s="39" t="str">
        <f>IFERROR(__xludf.DUMMYFUNCTION("""COMPUTED_VALUE"""),"Rosa")</f>
        <v>Rosa</v>
      </c>
      <c r="B221" s="8"/>
      <c r="C221" s="8" t="str">
        <f t="shared" si="62"/>
        <v>-</v>
      </c>
      <c r="D221" s="8"/>
      <c r="E221" s="46" t="s">
        <v>2</v>
      </c>
      <c r="F221" s="22" t="str">
        <f t="shared" si="63"/>
        <v/>
      </c>
      <c r="G221" s="22" t="str">
        <f t="shared" si="64"/>
        <v/>
      </c>
      <c r="K221" s="24">
        <v>1.0</v>
      </c>
      <c r="L221" s="24">
        <v>5.0</v>
      </c>
      <c r="P221" s="26">
        <v>3.0</v>
      </c>
      <c r="Q221" s="26">
        <v>3.0</v>
      </c>
      <c r="U221" s="28">
        <v>5.0</v>
      </c>
      <c r="V221" s="28">
        <v>1.0</v>
      </c>
      <c r="Z221" s="31">
        <v>0.0</v>
      </c>
      <c r="AA221" s="31">
        <v>0.0</v>
      </c>
      <c r="AF221" s="13">
        <f t="shared" si="65"/>
        <v>0</v>
      </c>
      <c r="AG221" s="33">
        <f t="shared" si="66"/>
        <v>0</v>
      </c>
      <c r="AH221" s="33">
        <f t="shared" si="67"/>
        <v>0</v>
      </c>
      <c r="AI221" s="33">
        <v>7.0</v>
      </c>
      <c r="AJ221" s="33">
        <v>2.0</v>
      </c>
      <c r="AK221" s="33">
        <v>3.0</v>
      </c>
      <c r="AL221" s="33">
        <v>6.0</v>
      </c>
    </row>
    <row r="222">
      <c r="A222" s="39" t="str">
        <f>IFERROR(__xludf.DUMMYFUNCTION("""COMPUTED_VALUE"""),"Grön")</f>
        <v>Grön</v>
      </c>
      <c r="B222" s="22"/>
      <c r="C222" s="8" t="str">
        <f t="shared" si="62"/>
        <v>-</v>
      </c>
      <c r="D222" s="22"/>
      <c r="E222" s="46" t="s">
        <v>5</v>
      </c>
      <c r="F222" s="22"/>
      <c r="G222" s="22"/>
      <c r="K222" s="24">
        <v>1.0</v>
      </c>
      <c r="L222" s="24">
        <v>5.0</v>
      </c>
      <c r="P222" s="26">
        <v>3.0</v>
      </c>
      <c r="Q222" s="26">
        <v>3.0</v>
      </c>
      <c r="U222" s="28">
        <v>5.0</v>
      </c>
      <c r="V222" s="28">
        <v>1.0</v>
      </c>
      <c r="Z222" s="31">
        <v>0.0</v>
      </c>
      <c r="AA222" s="31">
        <v>0.0</v>
      </c>
      <c r="AF222" s="13">
        <f t="shared" si="65"/>
        <v>0</v>
      </c>
      <c r="AG222" s="33">
        <f t="shared" si="66"/>
        <v>0</v>
      </c>
      <c r="AH222" s="33">
        <f t="shared" si="67"/>
        <v>0</v>
      </c>
      <c r="AI222" s="33">
        <v>7.0</v>
      </c>
      <c r="AJ222" s="33">
        <v>2.0</v>
      </c>
      <c r="AK222" s="33">
        <v>3.0</v>
      </c>
      <c r="AL222" s="33">
        <v>6.0</v>
      </c>
    </row>
    <row r="223">
      <c r="A223" s="39"/>
      <c r="AH223" s="39"/>
      <c r="AI223" s="39"/>
      <c r="AJ223" s="39"/>
      <c r="AK223" s="39"/>
      <c r="AL223" s="39"/>
    </row>
    <row r="224">
      <c r="A224" s="40" t="str">
        <f>IFERROR(__xludf.DUMMYFUNCTION("""Gameweek "" &amp; (VALUE(REGEXEXTRACT(A204, ""Gameweek (\d+)"")) + 1)"),"Gameweek 12")</f>
        <v>Gameweek 12</v>
      </c>
      <c r="F224" s="40"/>
      <c r="G224" s="40"/>
      <c r="H224" s="41" t="str">
        <f>A224</f>
        <v>Gameweek 12</v>
      </c>
      <c r="K224" s="15" t="s">
        <v>21</v>
      </c>
      <c r="L224" s="15" t="s">
        <v>22</v>
      </c>
      <c r="M224" s="42" t="str">
        <f>A224</f>
        <v>Gameweek 12</v>
      </c>
      <c r="P224" s="16" t="s">
        <v>21</v>
      </c>
      <c r="Q224" s="16" t="s">
        <v>22</v>
      </c>
      <c r="R224" s="43" t="str">
        <f>A224</f>
        <v>Gameweek 12</v>
      </c>
      <c r="U224" s="17" t="s">
        <v>21</v>
      </c>
      <c r="V224" s="17" t="s">
        <v>22</v>
      </c>
      <c r="W224" s="44" t="str">
        <f>A224</f>
        <v>Gameweek 12</v>
      </c>
      <c r="Z224" s="18" t="s">
        <v>21</v>
      </c>
      <c r="AA224" s="18" t="s">
        <v>22</v>
      </c>
      <c r="AB224" s="45" t="str">
        <f>A224</f>
        <v>Gameweek 12</v>
      </c>
      <c r="AF224" s="19" t="s">
        <v>21</v>
      </c>
      <c r="AG224" s="19" t="s">
        <v>22</v>
      </c>
      <c r="AH224" s="19" t="s">
        <v>17</v>
      </c>
      <c r="AI224" s="19" t="s">
        <v>23</v>
      </c>
    </row>
    <row r="225">
      <c r="A225" s="47" t="str">
        <f>IFERROR(__xludf.DUMMYFUNCTION("IFERROR(ARRAYFORMULA(FLATTEN(SPLIT(REPT(TEXTJOIN("","", TRUE, FILTER({H$2, M$2, R$2}, {H225, M225, R225} &lt;&gt; """")) &amp; "","", CEILING(18 / COUNTA(FILTER({H$2, M$2, R$2}, {H225, M225, R225} &lt;&gt; """")))), "",""))), """")
"),"Blå")</f>
        <v>Blå</v>
      </c>
      <c r="B225" s="8">
        <v>0.0</v>
      </c>
      <c r="C225" s="8" t="str">
        <f t="shared" ref="C225:C242" si="68">IF(ISBLANK(A225), "", "-")
</f>
        <v>-</v>
      </c>
      <c r="D225" s="8">
        <v>1.0</v>
      </c>
      <c r="E225" s="48" t="str">
        <f t="array" ref="E225:E242">{A242; A225:A241}</f>
        <v>Grön</v>
      </c>
      <c r="F225" s="22" t="str">
        <f t="shared" ref="F225:F241" si="69">IF(AND(B225 &lt;&gt; "", D225 &lt;&gt; ""), IF(B225 &gt; D225, A225, IF(D225 &gt; B225, E225, "Oavgjort")), "")</f>
        <v>Grön</v>
      </c>
      <c r="G225" s="22" t="str">
        <f t="shared" ref="G225:G241" si="70">IF(AND(B225 &lt;&gt; "", D225 &lt;&gt; ""), IF(B225 &lt; D225, A225, IF(D225 &lt; B225, E225, "Oavgjort")), "")
</f>
        <v>Blå</v>
      </c>
      <c r="H225" s="56" t="s">
        <v>58</v>
      </c>
      <c r="I225" s="9">
        <v>1.0</v>
      </c>
      <c r="J225" s="9">
        <v>1.0</v>
      </c>
      <c r="K225" s="24">
        <f t="array" ref="K225:K242">IF(SEQUENCE(18, 1), COUNTIF(F225:F242, $H$2))
</f>
        <v>3</v>
      </c>
      <c r="L225" s="24">
        <f t="array" ref="L225:L242">IF(SEQUENCE(18, 1), COUNTIF(G225:G242, $H$2))
</f>
        <v>2</v>
      </c>
      <c r="M225" s="53" t="s">
        <v>53</v>
      </c>
      <c r="N225" s="10">
        <v>0.0</v>
      </c>
      <c r="O225" s="10">
        <v>2.0</v>
      </c>
      <c r="P225" s="26">
        <f t="array" ref="P225:P242">IF(SEQUENCE(18, 1), COUNTIF(F225:F242, $M$2))
</f>
        <v>1</v>
      </c>
      <c r="Q225" s="26">
        <f t="array" ref="Q225:Q242">IF(SEQUENCE(18, 1), COUNTIF(G225:G242, $M$2))
</f>
        <v>3</v>
      </c>
      <c r="R225" s="55" t="s">
        <v>49</v>
      </c>
      <c r="S225" s="11">
        <v>2.0</v>
      </c>
      <c r="T225" s="11">
        <v>0.0</v>
      </c>
      <c r="U225" s="28">
        <f t="array" ref="U225:U242">IF(SEQUENCE(18, 1), COUNTIF(F225:F242, $R$2))
</f>
        <v>3</v>
      </c>
      <c r="V225" s="28">
        <f t="array" ref="V225:V242">IF(SEQUENCE(18, 1), COUNTIF(G225:G242, $R$2))
</f>
        <v>2</v>
      </c>
      <c r="W225" s="50" t="s">
        <v>33</v>
      </c>
      <c r="X225" s="30">
        <v>0.0</v>
      </c>
      <c r="Y225" s="30">
        <v>3.0</v>
      </c>
      <c r="Z225" s="31">
        <f t="array" ref="Z225:Z242">IF(SEQUENCE(18, 1), COUNTIF(F225:F242, $W$2))
</f>
        <v>0</v>
      </c>
      <c r="AA225" s="31">
        <f t="array" ref="AA225:AA242">IF(SEQUENCE(18, 1), COUNTIF(G225:G242, $W$2))
</f>
        <v>0</v>
      </c>
      <c r="AB225" s="32" t="s">
        <v>9</v>
      </c>
      <c r="AC225" s="32" t="s">
        <v>42</v>
      </c>
      <c r="AD225" s="13">
        <v>0.0</v>
      </c>
      <c r="AE225" s="13">
        <v>0.0</v>
      </c>
      <c r="AF225" s="13">
        <f t="shared" ref="AF225:AF242" si="71">IF(AB225 = "Borta", AJ225, (IF(AB225 = "Hemma", AI225, 0)))</f>
        <v>5</v>
      </c>
      <c r="AG225" s="33">
        <f t="shared" ref="AG225:AG242" si="72">IF(AB225 = "Hemma", AJ225, (IF(AB225 = "Borta", AI225, 0)))</f>
        <v>2</v>
      </c>
      <c r="AH225" s="33">
        <f t="shared" ref="AH225:AH242" si="73">IF(AB225 = "Borta", AK225, (IF(AB225 = "Hemma", AL225, 0)))</f>
        <v>9</v>
      </c>
      <c r="AI225" s="33">
        <f t="array" ref="AI225:AI242">IF(F225 &lt;&gt; "",
     SEQUENCE(18,1,1,0)*SUM(IF(A225:A242 = F225:F242, 1, 0)),
     SEQUENCE(18,1,0,0)
  )</f>
        <v>5</v>
      </c>
      <c r="AJ225" s="33">
        <f t="array" ref="AJ225:AJ242">IF(G225 &lt;&gt; "",
     SEQUENCE(18,1,1,0)*SUM(IF(E225:E242 = F225:F242, 1, 0)),
     SEQUENCE(18,1,0,0)
  )</f>
        <v>2</v>
      </c>
      <c r="AK225" s="33">
        <f t="array" ref="AK225:AK242">IF(SEQUENCE(18, 1), COUNTIF(B225:B242, 0))</f>
        <v>6</v>
      </c>
      <c r="AL225" s="33">
        <f t="array" ref="AL225:AL242">IF(SEQUENCE(18, 1), COUNTIF(D225:D242, 0))</f>
        <v>9</v>
      </c>
    </row>
    <row r="226">
      <c r="A226" s="20" t="str">
        <f>IFERROR(__xludf.DUMMYFUNCTION("""COMPUTED_VALUE"""),"Rosa")</f>
        <v>Rosa</v>
      </c>
      <c r="B226" s="8">
        <v>1.0</v>
      </c>
      <c r="C226" s="8" t="str">
        <f t="shared" si="68"/>
        <v>-</v>
      </c>
      <c r="D226" s="8">
        <v>1.0</v>
      </c>
      <c r="E226" s="21" t="s">
        <v>2</v>
      </c>
      <c r="F226" s="22" t="str">
        <f t="shared" si="69"/>
        <v>Oavgjort</v>
      </c>
      <c r="G226" s="22" t="str">
        <f t="shared" si="70"/>
        <v>Oavgjort</v>
      </c>
      <c r="H226" s="56" t="s">
        <v>70</v>
      </c>
      <c r="I226" s="9">
        <v>0.0</v>
      </c>
      <c r="J226" s="9">
        <v>0.0</v>
      </c>
      <c r="K226" s="24">
        <v>3.0</v>
      </c>
      <c r="L226" s="24">
        <v>2.0</v>
      </c>
      <c r="M226" s="57" t="s">
        <v>55</v>
      </c>
      <c r="N226" s="10">
        <v>0.0</v>
      </c>
      <c r="O226" s="10">
        <v>1.0</v>
      </c>
      <c r="P226" s="26">
        <v>1.0</v>
      </c>
      <c r="Q226" s="26">
        <v>3.0</v>
      </c>
      <c r="R226" s="55" t="s">
        <v>41</v>
      </c>
      <c r="S226" s="11">
        <v>0.0</v>
      </c>
      <c r="T226" s="11">
        <v>1.0</v>
      </c>
      <c r="U226" s="28">
        <v>3.0</v>
      </c>
      <c r="V226" s="28">
        <v>2.0</v>
      </c>
      <c r="W226" s="50"/>
      <c r="X226" s="30">
        <v>0.0</v>
      </c>
      <c r="Y226" s="30">
        <v>0.0</v>
      </c>
      <c r="Z226" s="31">
        <v>0.0</v>
      </c>
      <c r="AA226" s="31">
        <v>0.0</v>
      </c>
      <c r="AB226" s="32" t="s">
        <v>11</v>
      </c>
      <c r="AC226" s="32" t="s">
        <v>30</v>
      </c>
      <c r="AD226" s="13">
        <v>0.0</v>
      </c>
      <c r="AE226" s="13">
        <v>1.0</v>
      </c>
      <c r="AF226" s="13">
        <f t="shared" si="71"/>
        <v>2</v>
      </c>
      <c r="AG226" s="33">
        <f t="shared" si="72"/>
        <v>5</v>
      </c>
      <c r="AH226" s="33">
        <f t="shared" si="73"/>
        <v>6</v>
      </c>
      <c r="AI226" s="33">
        <v>5.0</v>
      </c>
      <c r="AJ226" s="33">
        <v>2.0</v>
      </c>
      <c r="AK226" s="33">
        <v>6.0</v>
      </c>
      <c r="AL226" s="33">
        <v>9.0</v>
      </c>
    </row>
    <row r="227">
      <c r="A227" s="20" t="str">
        <f>IFERROR(__xludf.DUMMYFUNCTION("""COMPUTED_VALUE"""),"Grön")</f>
        <v>Grön</v>
      </c>
      <c r="B227" s="8">
        <v>0.0</v>
      </c>
      <c r="C227" s="8" t="str">
        <f t="shared" si="68"/>
        <v>-</v>
      </c>
      <c r="D227" s="8">
        <v>0.0</v>
      </c>
      <c r="E227" s="21" t="s">
        <v>5</v>
      </c>
      <c r="F227" s="22" t="str">
        <f t="shared" si="69"/>
        <v>Oavgjort</v>
      </c>
      <c r="G227" s="22" t="str">
        <f t="shared" si="70"/>
        <v>Oavgjort</v>
      </c>
      <c r="H227" s="56" t="s">
        <v>35</v>
      </c>
      <c r="I227" s="9">
        <v>2.0</v>
      </c>
      <c r="J227" s="9">
        <v>1.0</v>
      </c>
      <c r="K227" s="24">
        <v>3.0</v>
      </c>
      <c r="L227" s="24">
        <v>2.0</v>
      </c>
      <c r="M227" s="57" t="s">
        <v>34</v>
      </c>
      <c r="N227" s="10">
        <v>1.0</v>
      </c>
      <c r="O227" s="10">
        <v>1.0</v>
      </c>
      <c r="P227" s="26">
        <v>1.0</v>
      </c>
      <c r="Q227" s="26">
        <v>3.0</v>
      </c>
      <c r="R227" s="55" t="s">
        <v>36</v>
      </c>
      <c r="S227" s="11">
        <v>0.0</v>
      </c>
      <c r="T227" s="11">
        <v>1.0</v>
      </c>
      <c r="U227" s="28">
        <v>3.0</v>
      </c>
      <c r="V227" s="28">
        <v>2.0</v>
      </c>
      <c r="W227" s="29"/>
      <c r="X227" s="30">
        <v>0.0</v>
      </c>
      <c r="Y227" s="30">
        <v>0.0</v>
      </c>
      <c r="Z227" s="31">
        <v>0.0</v>
      </c>
      <c r="AA227" s="31">
        <v>0.0</v>
      </c>
      <c r="AB227" s="34"/>
      <c r="AF227" s="13">
        <f t="shared" si="71"/>
        <v>0</v>
      </c>
      <c r="AG227" s="33">
        <f t="shared" si="72"/>
        <v>0</v>
      </c>
      <c r="AH227" s="33">
        <f t="shared" si="73"/>
        <v>0</v>
      </c>
      <c r="AI227" s="33">
        <v>5.0</v>
      </c>
      <c r="AJ227" s="33">
        <v>2.0</v>
      </c>
      <c r="AK227" s="33">
        <v>6.0</v>
      </c>
      <c r="AL227" s="33">
        <v>9.0</v>
      </c>
    </row>
    <row r="228">
      <c r="A228" s="20" t="str">
        <f>IFERROR(__xludf.DUMMYFUNCTION("""COMPUTED_VALUE"""),"Blå")</f>
        <v>Blå</v>
      </c>
      <c r="B228" s="8">
        <v>1.0</v>
      </c>
      <c r="C228" s="8" t="str">
        <f t="shared" si="68"/>
        <v>-</v>
      </c>
      <c r="D228" s="8">
        <v>0.0</v>
      </c>
      <c r="E228" s="21" t="s">
        <v>6</v>
      </c>
      <c r="F228" s="22" t="str">
        <f t="shared" si="69"/>
        <v>Blå</v>
      </c>
      <c r="G228" s="22" t="str">
        <f t="shared" si="70"/>
        <v>Grön</v>
      </c>
      <c r="H228" s="38" t="s">
        <v>71</v>
      </c>
      <c r="I228" s="9">
        <v>1.0</v>
      </c>
      <c r="J228" s="9">
        <v>1.0</v>
      </c>
      <c r="K228" s="24">
        <v>3.0</v>
      </c>
      <c r="L228" s="24">
        <v>2.0</v>
      </c>
      <c r="M228" s="53" t="s">
        <v>26</v>
      </c>
      <c r="N228" s="10">
        <v>3.0</v>
      </c>
      <c r="O228" s="10">
        <v>0.0</v>
      </c>
      <c r="P228" s="26">
        <v>1.0</v>
      </c>
      <c r="Q228" s="26">
        <v>3.0</v>
      </c>
      <c r="R228" s="55" t="s">
        <v>24</v>
      </c>
      <c r="S228" s="11">
        <v>3.0</v>
      </c>
      <c r="T228" s="11">
        <v>2.0</v>
      </c>
      <c r="U228" s="28">
        <v>3.0</v>
      </c>
      <c r="V228" s="28">
        <v>2.0</v>
      </c>
      <c r="W228" s="29"/>
      <c r="X228" s="30">
        <v>0.0</v>
      </c>
      <c r="Y228" s="30">
        <v>0.0</v>
      </c>
      <c r="Z228" s="31">
        <v>0.0</v>
      </c>
      <c r="AA228" s="31">
        <v>0.0</v>
      </c>
      <c r="AF228" s="13">
        <f t="shared" si="71"/>
        <v>0</v>
      </c>
      <c r="AG228" s="33">
        <f t="shared" si="72"/>
        <v>0</v>
      </c>
      <c r="AH228" s="33">
        <f t="shared" si="73"/>
        <v>0</v>
      </c>
      <c r="AI228" s="33">
        <v>5.0</v>
      </c>
      <c r="AJ228" s="33">
        <v>2.0</v>
      </c>
      <c r="AK228" s="33">
        <v>6.0</v>
      </c>
      <c r="AL228" s="33">
        <v>9.0</v>
      </c>
    </row>
    <row r="229">
      <c r="A229" s="20" t="str">
        <f>IFERROR(__xludf.DUMMYFUNCTION("""COMPUTED_VALUE"""),"Rosa")</f>
        <v>Rosa</v>
      </c>
      <c r="B229" s="8">
        <v>2.0</v>
      </c>
      <c r="C229" s="8" t="str">
        <f t="shared" si="68"/>
        <v>-</v>
      </c>
      <c r="D229" s="8">
        <v>0.0</v>
      </c>
      <c r="E229" s="21" t="s">
        <v>2</v>
      </c>
      <c r="F229" s="22" t="str">
        <f t="shared" si="69"/>
        <v>Rosa</v>
      </c>
      <c r="G229" s="22" t="str">
        <f t="shared" si="70"/>
        <v>Blå</v>
      </c>
      <c r="H229" s="38" t="s">
        <v>29</v>
      </c>
      <c r="I229" s="9">
        <v>2.0</v>
      </c>
      <c r="J229" s="9">
        <v>1.0</v>
      </c>
      <c r="K229" s="24">
        <v>3.0</v>
      </c>
      <c r="L229" s="24">
        <v>2.0</v>
      </c>
      <c r="M229" s="35"/>
      <c r="N229" s="10">
        <v>0.0</v>
      </c>
      <c r="O229" s="10">
        <v>0.0</v>
      </c>
      <c r="P229" s="26">
        <v>1.0</v>
      </c>
      <c r="Q229" s="26">
        <v>3.0</v>
      </c>
      <c r="R229" s="27"/>
      <c r="S229" s="11">
        <v>0.0</v>
      </c>
      <c r="T229" s="11">
        <v>0.0</v>
      </c>
      <c r="U229" s="28">
        <v>3.0</v>
      </c>
      <c r="V229" s="28">
        <v>2.0</v>
      </c>
      <c r="W229" s="29"/>
      <c r="X229" s="30">
        <v>0.0</v>
      </c>
      <c r="Y229" s="30">
        <v>0.0</v>
      </c>
      <c r="Z229" s="31">
        <v>0.0</v>
      </c>
      <c r="AA229" s="31">
        <v>0.0</v>
      </c>
      <c r="AF229" s="13">
        <f t="shared" si="71"/>
        <v>0</v>
      </c>
      <c r="AG229" s="33">
        <f t="shared" si="72"/>
        <v>0</v>
      </c>
      <c r="AH229" s="33">
        <f t="shared" si="73"/>
        <v>0</v>
      </c>
      <c r="AI229" s="33">
        <v>5.0</v>
      </c>
      <c r="AJ229" s="33">
        <v>2.0</v>
      </c>
      <c r="AK229" s="33">
        <v>6.0</v>
      </c>
      <c r="AL229" s="33">
        <v>9.0</v>
      </c>
    </row>
    <row r="230">
      <c r="A230" s="20" t="str">
        <f>IFERROR(__xludf.DUMMYFUNCTION("""COMPUTED_VALUE"""),"Grön")</f>
        <v>Grön</v>
      </c>
      <c r="B230" s="8">
        <v>0.0</v>
      </c>
      <c r="C230" s="8" t="str">
        <f t="shared" si="68"/>
        <v>-</v>
      </c>
      <c r="D230" s="8">
        <v>0.0</v>
      </c>
      <c r="E230" s="21" t="s">
        <v>5</v>
      </c>
      <c r="F230" s="22" t="str">
        <f t="shared" si="69"/>
        <v>Oavgjort</v>
      </c>
      <c r="G230" s="22" t="str">
        <f t="shared" si="70"/>
        <v>Oavgjort</v>
      </c>
      <c r="H230" s="38"/>
      <c r="I230" s="9">
        <v>0.0</v>
      </c>
      <c r="J230" s="9">
        <v>0.0</v>
      </c>
      <c r="K230" s="24">
        <v>3.0</v>
      </c>
      <c r="L230" s="24">
        <v>2.0</v>
      </c>
      <c r="M230" s="35"/>
      <c r="N230" s="10">
        <v>0.0</v>
      </c>
      <c r="O230" s="10">
        <v>0.0</v>
      </c>
      <c r="P230" s="26">
        <v>1.0</v>
      </c>
      <c r="Q230" s="26">
        <v>3.0</v>
      </c>
      <c r="R230" s="36"/>
      <c r="S230" s="11">
        <v>0.0</v>
      </c>
      <c r="T230" s="11">
        <v>0.0</v>
      </c>
      <c r="U230" s="28">
        <v>3.0</v>
      </c>
      <c r="V230" s="28">
        <v>2.0</v>
      </c>
      <c r="W230" s="29"/>
      <c r="X230" s="30">
        <v>0.0</v>
      </c>
      <c r="Y230" s="30">
        <v>0.0</v>
      </c>
      <c r="Z230" s="31">
        <v>0.0</v>
      </c>
      <c r="AA230" s="31">
        <v>0.0</v>
      </c>
      <c r="AF230" s="13">
        <f t="shared" si="71"/>
        <v>0</v>
      </c>
      <c r="AG230" s="33">
        <f t="shared" si="72"/>
        <v>0</v>
      </c>
      <c r="AH230" s="33">
        <f t="shared" si="73"/>
        <v>0</v>
      </c>
      <c r="AI230" s="33">
        <v>5.0</v>
      </c>
      <c r="AJ230" s="33">
        <v>2.0</v>
      </c>
      <c r="AK230" s="33">
        <v>6.0</v>
      </c>
      <c r="AL230" s="33">
        <v>9.0</v>
      </c>
    </row>
    <row r="231">
      <c r="A231" s="20" t="str">
        <f>IFERROR(__xludf.DUMMYFUNCTION("""COMPUTED_VALUE"""),"Blå")</f>
        <v>Blå</v>
      </c>
      <c r="B231" s="8">
        <v>1.0</v>
      </c>
      <c r="C231" s="8" t="str">
        <f t="shared" si="68"/>
        <v>-</v>
      </c>
      <c r="D231" s="8">
        <v>0.0</v>
      </c>
      <c r="E231" s="21" t="s">
        <v>6</v>
      </c>
      <c r="F231" s="22" t="str">
        <f t="shared" si="69"/>
        <v>Blå</v>
      </c>
      <c r="G231" s="22" t="str">
        <f t="shared" si="70"/>
        <v>Grön</v>
      </c>
      <c r="H231" s="23"/>
      <c r="I231" s="9">
        <v>0.0</v>
      </c>
      <c r="J231" s="9">
        <v>0.0</v>
      </c>
      <c r="K231" s="24">
        <v>3.0</v>
      </c>
      <c r="L231" s="24">
        <v>2.0</v>
      </c>
      <c r="M231" s="35"/>
      <c r="N231" s="10">
        <v>0.0</v>
      </c>
      <c r="O231" s="10">
        <v>0.0</v>
      </c>
      <c r="P231" s="26">
        <v>1.0</v>
      </c>
      <c r="Q231" s="26">
        <v>3.0</v>
      </c>
      <c r="R231" s="36"/>
      <c r="S231" s="11">
        <v>0.0</v>
      </c>
      <c r="T231" s="11">
        <v>0.0</v>
      </c>
      <c r="U231" s="28">
        <v>3.0</v>
      </c>
      <c r="V231" s="28">
        <v>2.0</v>
      </c>
      <c r="W231" s="29"/>
      <c r="X231" s="30">
        <v>0.0</v>
      </c>
      <c r="Y231" s="30">
        <v>0.0</v>
      </c>
      <c r="Z231" s="31">
        <v>0.0</v>
      </c>
      <c r="AA231" s="31">
        <v>0.0</v>
      </c>
      <c r="AF231" s="13">
        <f t="shared" si="71"/>
        <v>0</v>
      </c>
      <c r="AG231" s="33">
        <f t="shared" si="72"/>
        <v>0</v>
      </c>
      <c r="AH231" s="33">
        <f t="shared" si="73"/>
        <v>0</v>
      </c>
      <c r="AI231" s="33">
        <v>5.0</v>
      </c>
      <c r="AJ231" s="33">
        <v>2.0</v>
      </c>
      <c r="AK231" s="33">
        <v>6.0</v>
      </c>
      <c r="AL231" s="33">
        <v>9.0</v>
      </c>
    </row>
    <row r="232">
      <c r="A232" s="20" t="str">
        <f>IFERROR(__xludf.DUMMYFUNCTION("""COMPUTED_VALUE"""),"Rosa")</f>
        <v>Rosa</v>
      </c>
      <c r="B232" s="8">
        <v>0.0</v>
      </c>
      <c r="C232" s="8" t="str">
        <f t="shared" si="68"/>
        <v>-</v>
      </c>
      <c r="D232" s="8">
        <v>1.0</v>
      </c>
      <c r="E232" s="21" t="s">
        <v>2</v>
      </c>
      <c r="F232" s="22" t="str">
        <f t="shared" si="69"/>
        <v>Blå</v>
      </c>
      <c r="G232" s="22" t="str">
        <f t="shared" si="70"/>
        <v>Rosa</v>
      </c>
      <c r="H232" s="38"/>
      <c r="K232" s="24">
        <v>3.0</v>
      </c>
      <c r="L232" s="24">
        <v>2.0</v>
      </c>
      <c r="M232" s="35"/>
      <c r="P232" s="26">
        <v>1.0</v>
      </c>
      <c r="Q232" s="26">
        <v>3.0</v>
      </c>
      <c r="R232" s="36"/>
      <c r="U232" s="28">
        <v>3.0</v>
      </c>
      <c r="V232" s="28">
        <v>2.0</v>
      </c>
      <c r="W232" s="37"/>
      <c r="Z232" s="31">
        <v>0.0</v>
      </c>
      <c r="AA232" s="31">
        <v>0.0</v>
      </c>
      <c r="AF232" s="13">
        <f t="shared" si="71"/>
        <v>0</v>
      </c>
      <c r="AG232" s="33">
        <f t="shared" si="72"/>
        <v>0</v>
      </c>
      <c r="AH232" s="33">
        <f t="shared" si="73"/>
        <v>0</v>
      </c>
      <c r="AI232" s="33">
        <v>5.0</v>
      </c>
      <c r="AJ232" s="33">
        <v>2.0</v>
      </c>
      <c r="AK232" s="33">
        <v>6.0</v>
      </c>
      <c r="AL232" s="33">
        <v>9.0</v>
      </c>
    </row>
    <row r="233">
      <c r="A233" s="20" t="str">
        <f>IFERROR(__xludf.DUMMYFUNCTION("""COMPUTED_VALUE"""),"Grön")</f>
        <v>Grön</v>
      </c>
      <c r="B233" s="8">
        <v>1.0</v>
      </c>
      <c r="C233" s="8" t="str">
        <f t="shared" si="68"/>
        <v>-</v>
      </c>
      <c r="D233" s="8">
        <v>0.0</v>
      </c>
      <c r="E233" s="21" t="s">
        <v>5</v>
      </c>
      <c r="F233" s="22" t="str">
        <f t="shared" si="69"/>
        <v>Grön</v>
      </c>
      <c r="G233" s="22" t="str">
        <f t="shared" si="70"/>
        <v>Rosa</v>
      </c>
      <c r="K233" s="24">
        <v>3.0</v>
      </c>
      <c r="L233" s="24">
        <v>2.0</v>
      </c>
      <c r="P233" s="26">
        <v>1.0</v>
      </c>
      <c r="Q233" s="26">
        <v>3.0</v>
      </c>
      <c r="U233" s="28">
        <v>3.0</v>
      </c>
      <c r="V233" s="28">
        <v>2.0</v>
      </c>
      <c r="Z233" s="31">
        <v>0.0</v>
      </c>
      <c r="AA233" s="31">
        <v>0.0</v>
      </c>
      <c r="AF233" s="13">
        <f t="shared" si="71"/>
        <v>0</v>
      </c>
      <c r="AG233" s="33">
        <f t="shared" si="72"/>
        <v>0</v>
      </c>
      <c r="AH233" s="33">
        <f t="shared" si="73"/>
        <v>0</v>
      </c>
      <c r="AI233" s="33">
        <v>5.0</v>
      </c>
      <c r="AJ233" s="33">
        <v>2.0</v>
      </c>
      <c r="AK233" s="33">
        <v>6.0</v>
      </c>
      <c r="AL233" s="33">
        <v>9.0</v>
      </c>
    </row>
    <row r="234">
      <c r="A234" s="20" t="str">
        <f>IFERROR(__xludf.DUMMYFUNCTION("""COMPUTED_VALUE"""),"Blå")</f>
        <v>Blå</v>
      </c>
      <c r="B234" s="8">
        <v>1.0</v>
      </c>
      <c r="C234" s="8" t="str">
        <f t="shared" si="68"/>
        <v>-</v>
      </c>
      <c r="D234" s="8">
        <v>1.0</v>
      </c>
      <c r="E234" s="21" t="s">
        <v>6</v>
      </c>
      <c r="F234" s="22" t="str">
        <f t="shared" si="69"/>
        <v>Oavgjort</v>
      </c>
      <c r="G234" s="22" t="str">
        <f t="shared" si="70"/>
        <v>Oavgjort</v>
      </c>
      <c r="K234" s="24">
        <v>3.0</v>
      </c>
      <c r="L234" s="24">
        <v>2.0</v>
      </c>
      <c r="P234" s="26">
        <v>1.0</v>
      </c>
      <c r="Q234" s="26">
        <v>3.0</v>
      </c>
      <c r="U234" s="28">
        <v>3.0</v>
      </c>
      <c r="V234" s="28">
        <v>2.0</v>
      </c>
      <c r="Z234" s="31">
        <v>0.0</v>
      </c>
      <c r="AA234" s="31">
        <v>0.0</v>
      </c>
      <c r="AF234" s="13">
        <f t="shared" si="71"/>
        <v>0</v>
      </c>
      <c r="AG234" s="33">
        <f t="shared" si="72"/>
        <v>0</v>
      </c>
      <c r="AH234" s="33">
        <f t="shared" si="73"/>
        <v>0</v>
      </c>
      <c r="AI234" s="33">
        <v>5.0</v>
      </c>
      <c r="AJ234" s="33">
        <v>2.0</v>
      </c>
      <c r="AK234" s="33">
        <v>6.0</v>
      </c>
      <c r="AL234" s="33">
        <v>9.0</v>
      </c>
    </row>
    <row r="235">
      <c r="A235" s="20" t="str">
        <f>IFERROR(__xludf.DUMMYFUNCTION("""COMPUTED_VALUE"""),"Rosa")</f>
        <v>Rosa</v>
      </c>
      <c r="B235" s="8">
        <v>0.0</v>
      </c>
      <c r="C235" s="8" t="str">
        <f t="shared" si="68"/>
        <v>-</v>
      </c>
      <c r="D235" s="8">
        <v>0.0</v>
      </c>
      <c r="E235" s="21" t="s">
        <v>2</v>
      </c>
      <c r="F235" s="22" t="str">
        <f t="shared" si="69"/>
        <v>Oavgjort</v>
      </c>
      <c r="G235" s="22" t="str">
        <f t="shared" si="70"/>
        <v>Oavgjort</v>
      </c>
      <c r="K235" s="24">
        <v>3.0</v>
      </c>
      <c r="L235" s="24">
        <v>2.0</v>
      </c>
      <c r="P235" s="26">
        <v>1.0</v>
      </c>
      <c r="Q235" s="26">
        <v>3.0</v>
      </c>
      <c r="U235" s="28">
        <v>3.0</v>
      </c>
      <c r="V235" s="28">
        <v>2.0</v>
      </c>
      <c r="Z235" s="31">
        <v>0.0</v>
      </c>
      <c r="AA235" s="31">
        <v>0.0</v>
      </c>
      <c r="AF235" s="13">
        <f t="shared" si="71"/>
        <v>0</v>
      </c>
      <c r="AG235" s="33">
        <f t="shared" si="72"/>
        <v>0</v>
      </c>
      <c r="AH235" s="33">
        <f t="shared" si="73"/>
        <v>0</v>
      </c>
      <c r="AI235" s="33">
        <v>5.0</v>
      </c>
      <c r="AJ235" s="33">
        <v>2.0</v>
      </c>
      <c r="AK235" s="33">
        <v>6.0</v>
      </c>
      <c r="AL235" s="33">
        <v>9.0</v>
      </c>
    </row>
    <row r="236">
      <c r="A236" s="20" t="str">
        <f>IFERROR(__xludf.DUMMYFUNCTION("""COMPUTED_VALUE"""),"Grön")</f>
        <v>Grön</v>
      </c>
      <c r="B236" s="8">
        <v>1.0</v>
      </c>
      <c r="C236" s="8" t="str">
        <f t="shared" si="68"/>
        <v>-</v>
      </c>
      <c r="D236" s="8">
        <v>0.0</v>
      </c>
      <c r="E236" s="21" t="s">
        <v>5</v>
      </c>
      <c r="F236" s="22" t="str">
        <f t="shared" si="69"/>
        <v>Grön</v>
      </c>
      <c r="G236" s="22" t="str">
        <f t="shared" si="70"/>
        <v>Rosa</v>
      </c>
      <c r="K236" s="24">
        <v>3.0</v>
      </c>
      <c r="L236" s="24">
        <v>2.0</v>
      </c>
      <c r="P236" s="26">
        <v>1.0</v>
      </c>
      <c r="Q236" s="26">
        <v>3.0</v>
      </c>
      <c r="U236" s="28">
        <v>3.0</v>
      </c>
      <c r="V236" s="28">
        <v>2.0</v>
      </c>
      <c r="Z236" s="31">
        <v>0.0</v>
      </c>
      <c r="AA236" s="31">
        <v>0.0</v>
      </c>
      <c r="AF236" s="13">
        <f t="shared" si="71"/>
        <v>0</v>
      </c>
      <c r="AG236" s="33">
        <f t="shared" si="72"/>
        <v>0</v>
      </c>
      <c r="AH236" s="33">
        <f t="shared" si="73"/>
        <v>0</v>
      </c>
      <c r="AI236" s="33">
        <v>5.0</v>
      </c>
      <c r="AJ236" s="33">
        <v>2.0</v>
      </c>
      <c r="AK236" s="33">
        <v>6.0</v>
      </c>
      <c r="AL236" s="33">
        <v>9.0</v>
      </c>
    </row>
    <row r="237">
      <c r="A237" s="20" t="str">
        <f>IFERROR(__xludf.DUMMYFUNCTION("""COMPUTED_VALUE"""),"Blå")</f>
        <v>Blå</v>
      </c>
      <c r="B237" s="8">
        <v>0.0</v>
      </c>
      <c r="C237" s="8" t="str">
        <f t="shared" si="68"/>
        <v>-</v>
      </c>
      <c r="D237" s="8">
        <v>0.0</v>
      </c>
      <c r="E237" s="21" t="s">
        <v>6</v>
      </c>
      <c r="F237" s="22" t="str">
        <f t="shared" si="69"/>
        <v>Oavgjort</v>
      </c>
      <c r="G237" s="22" t="str">
        <f t="shared" si="70"/>
        <v>Oavgjort</v>
      </c>
      <c r="K237" s="24">
        <v>3.0</v>
      </c>
      <c r="L237" s="24">
        <v>2.0</v>
      </c>
      <c r="P237" s="26">
        <v>1.0</v>
      </c>
      <c r="Q237" s="26">
        <v>3.0</v>
      </c>
      <c r="U237" s="28">
        <v>3.0</v>
      </c>
      <c r="V237" s="28">
        <v>2.0</v>
      </c>
      <c r="Z237" s="31">
        <v>0.0</v>
      </c>
      <c r="AA237" s="31">
        <v>0.0</v>
      </c>
      <c r="AF237" s="13">
        <f t="shared" si="71"/>
        <v>0</v>
      </c>
      <c r="AG237" s="33">
        <f t="shared" si="72"/>
        <v>0</v>
      </c>
      <c r="AH237" s="33">
        <f t="shared" si="73"/>
        <v>0</v>
      </c>
      <c r="AI237" s="33">
        <v>5.0</v>
      </c>
      <c r="AJ237" s="33">
        <v>2.0</v>
      </c>
      <c r="AK237" s="33">
        <v>6.0</v>
      </c>
      <c r="AL237" s="33">
        <v>9.0</v>
      </c>
    </row>
    <row r="238">
      <c r="A238" s="20" t="str">
        <f>IFERROR(__xludf.DUMMYFUNCTION("""COMPUTED_VALUE"""),"Rosa")</f>
        <v>Rosa</v>
      </c>
      <c r="B238" s="8"/>
      <c r="C238" s="8" t="str">
        <f t="shared" si="68"/>
        <v>-</v>
      </c>
      <c r="D238" s="8">
        <v>2.0</v>
      </c>
      <c r="E238" s="21" t="s">
        <v>2</v>
      </c>
      <c r="F238" s="22" t="str">
        <f t="shared" si="69"/>
        <v/>
      </c>
      <c r="G238" s="22" t="str">
        <f t="shared" si="70"/>
        <v/>
      </c>
      <c r="K238" s="24">
        <v>3.0</v>
      </c>
      <c r="L238" s="24">
        <v>2.0</v>
      </c>
      <c r="P238" s="26">
        <v>1.0</v>
      </c>
      <c r="Q238" s="26">
        <v>3.0</v>
      </c>
      <c r="U238" s="28">
        <v>3.0</v>
      </c>
      <c r="V238" s="28">
        <v>2.0</v>
      </c>
      <c r="Z238" s="31">
        <v>0.0</v>
      </c>
      <c r="AA238" s="31">
        <v>0.0</v>
      </c>
      <c r="AF238" s="13">
        <f t="shared" si="71"/>
        <v>0</v>
      </c>
      <c r="AG238" s="33">
        <f t="shared" si="72"/>
        <v>0</v>
      </c>
      <c r="AH238" s="33">
        <f t="shared" si="73"/>
        <v>0</v>
      </c>
      <c r="AI238" s="33">
        <v>5.0</v>
      </c>
      <c r="AJ238" s="33">
        <v>2.0</v>
      </c>
      <c r="AK238" s="33">
        <v>6.0</v>
      </c>
      <c r="AL238" s="33">
        <v>9.0</v>
      </c>
    </row>
    <row r="239">
      <c r="A239" s="20" t="str">
        <f>IFERROR(__xludf.DUMMYFUNCTION("""COMPUTED_VALUE"""),"Grön")</f>
        <v>Grön</v>
      </c>
      <c r="B239" s="8"/>
      <c r="C239" s="8" t="str">
        <f t="shared" si="68"/>
        <v>-</v>
      </c>
      <c r="D239" s="8"/>
      <c r="E239" s="21" t="s">
        <v>5</v>
      </c>
      <c r="F239" s="22" t="str">
        <f t="shared" si="69"/>
        <v/>
      </c>
      <c r="G239" s="22" t="str">
        <f t="shared" si="70"/>
        <v/>
      </c>
      <c r="K239" s="24">
        <v>3.0</v>
      </c>
      <c r="L239" s="24">
        <v>2.0</v>
      </c>
      <c r="P239" s="26">
        <v>1.0</v>
      </c>
      <c r="Q239" s="26">
        <v>3.0</v>
      </c>
      <c r="U239" s="28">
        <v>3.0</v>
      </c>
      <c r="V239" s="28">
        <v>2.0</v>
      </c>
      <c r="Z239" s="31">
        <v>0.0</v>
      </c>
      <c r="AA239" s="31">
        <v>0.0</v>
      </c>
      <c r="AF239" s="13">
        <f t="shared" si="71"/>
        <v>0</v>
      </c>
      <c r="AG239" s="33">
        <f t="shared" si="72"/>
        <v>0</v>
      </c>
      <c r="AH239" s="33">
        <f t="shared" si="73"/>
        <v>0</v>
      </c>
      <c r="AI239" s="33">
        <v>5.0</v>
      </c>
      <c r="AJ239" s="33">
        <v>2.0</v>
      </c>
      <c r="AK239" s="33">
        <v>6.0</v>
      </c>
      <c r="AL239" s="33">
        <v>9.0</v>
      </c>
    </row>
    <row r="240">
      <c r="A240" s="20" t="str">
        <f>IFERROR(__xludf.DUMMYFUNCTION("""COMPUTED_VALUE"""),"Blå")</f>
        <v>Blå</v>
      </c>
      <c r="B240" s="8"/>
      <c r="C240" s="8" t="str">
        <f t="shared" si="68"/>
        <v>-</v>
      </c>
      <c r="D240" s="22"/>
      <c r="E240" s="21" t="s">
        <v>6</v>
      </c>
      <c r="F240" s="22" t="str">
        <f t="shared" si="69"/>
        <v/>
      </c>
      <c r="G240" s="22" t="str">
        <f t="shared" si="70"/>
        <v/>
      </c>
      <c r="K240" s="24">
        <v>3.0</v>
      </c>
      <c r="L240" s="24">
        <v>2.0</v>
      </c>
      <c r="P240" s="26">
        <v>1.0</v>
      </c>
      <c r="Q240" s="26">
        <v>3.0</v>
      </c>
      <c r="U240" s="28">
        <v>3.0</v>
      </c>
      <c r="V240" s="28">
        <v>2.0</v>
      </c>
      <c r="Z240" s="31">
        <v>0.0</v>
      </c>
      <c r="AA240" s="31">
        <v>0.0</v>
      </c>
      <c r="AF240" s="13">
        <f t="shared" si="71"/>
        <v>0</v>
      </c>
      <c r="AG240" s="33">
        <f t="shared" si="72"/>
        <v>0</v>
      </c>
      <c r="AH240" s="33">
        <f t="shared" si="73"/>
        <v>0</v>
      </c>
      <c r="AI240" s="33">
        <v>5.0</v>
      </c>
      <c r="AJ240" s="33">
        <v>2.0</v>
      </c>
      <c r="AK240" s="33">
        <v>6.0</v>
      </c>
      <c r="AL240" s="33">
        <v>9.0</v>
      </c>
    </row>
    <row r="241">
      <c r="A241" s="39" t="str">
        <f>IFERROR(__xludf.DUMMYFUNCTION("""COMPUTED_VALUE"""),"Rosa")</f>
        <v>Rosa</v>
      </c>
      <c r="B241" s="8"/>
      <c r="C241" s="8" t="str">
        <f t="shared" si="68"/>
        <v>-</v>
      </c>
      <c r="D241" s="8"/>
      <c r="E241" s="46" t="s">
        <v>2</v>
      </c>
      <c r="F241" s="22" t="str">
        <f t="shared" si="69"/>
        <v/>
      </c>
      <c r="G241" s="22" t="str">
        <f t="shared" si="70"/>
        <v/>
      </c>
      <c r="K241" s="24">
        <v>3.0</v>
      </c>
      <c r="L241" s="24">
        <v>2.0</v>
      </c>
      <c r="P241" s="26">
        <v>1.0</v>
      </c>
      <c r="Q241" s="26">
        <v>3.0</v>
      </c>
      <c r="U241" s="28">
        <v>3.0</v>
      </c>
      <c r="V241" s="28">
        <v>2.0</v>
      </c>
      <c r="Z241" s="31">
        <v>0.0</v>
      </c>
      <c r="AA241" s="31">
        <v>0.0</v>
      </c>
      <c r="AF241" s="13">
        <f t="shared" si="71"/>
        <v>0</v>
      </c>
      <c r="AG241" s="33">
        <f t="shared" si="72"/>
        <v>0</v>
      </c>
      <c r="AH241" s="33">
        <f t="shared" si="73"/>
        <v>0</v>
      </c>
      <c r="AI241" s="33">
        <v>5.0</v>
      </c>
      <c r="AJ241" s="33">
        <v>2.0</v>
      </c>
      <c r="AK241" s="33">
        <v>6.0</v>
      </c>
      <c r="AL241" s="33">
        <v>9.0</v>
      </c>
    </row>
    <row r="242">
      <c r="A242" s="39" t="str">
        <f>IFERROR(__xludf.DUMMYFUNCTION("""COMPUTED_VALUE"""),"Grön")</f>
        <v>Grön</v>
      </c>
      <c r="B242" s="22"/>
      <c r="C242" s="8" t="str">
        <f t="shared" si="68"/>
        <v>-</v>
      </c>
      <c r="D242" s="22"/>
      <c r="E242" s="46" t="s">
        <v>5</v>
      </c>
      <c r="F242" s="22"/>
      <c r="G242" s="22"/>
      <c r="K242" s="24">
        <v>3.0</v>
      </c>
      <c r="L242" s="24">
        <v>2.0</v>
      </c>
      <c r="P242" s="26">
        <v>1.0</v>
      </c>
      <c r="Q242" s="26">
        <v>3.0</v>
      </c>
      <c r="U242" s="28">
        <v>3.0</v>
      </c>
      <c r="V242" s="28">
        <v>2.0</v>
      </c>
      <c r="Z242" s="31">
        <v>0.0</v>
      </c>
      <c r="AA242" s="31">
        <v>0.0</v>
      </c>
      <c r="AF242" s="13">
        <f t="shared" si="71"/>
        <v>0</v>
      </c>
      <c r="AG242" s="33">
        <f t="shared" si="72"/>
        <v>0</v>
      </c>
      <c r="AH242" s="33">
        <f t="shared" si="73"/>
        <v>0</v>
      </c>
      <c r="AI242" s="33">
        <v>5.0</v>
      </c>
      <c r="AJ242" s="33">
        <v>2.0</v>
      </c>
      <c r="AK242" s="33">
        <v>6.0</v>
      </c>
      <c r="AL242" s="33">
        <v>9.0</v>
      </c>
    </row>
    <row r="243">
      <c r="A243" s="39"/>
      <c r="AH243" s="39"/>
      <c r="AI243" s="39"/>
      <c r="AJ243" s="39"/>
      <c r="AK243" s="39"/>
      <c r="AL243" s="39"/>
    </row>
    <row r="244">
      <c r="A244" s="40" t="str">
        <f>IFERROR(__xludf.DUMMYFUNCTION("""Gameweek "" &amp; (VALUE(REGEXEXTRACT(A224, ""Gameweek (\d+)"")) + 1)"),"Gameweek 13")</f>
        <v>Gameweek 13</v>
      </c>
      <c r="F244" s="40"/>
      <c r="G244" s="40"/>
      <c r="H244" s="41" t="str">
        <f>A244</f>
        <v>Gameweek 13</v>
      </c>
      <c r="K244" s="15" t="s">
        <v>21</v>
      </c>
      <c r="L244" s="15" t="s">
        <v>22</v>
      </c>
      <c r="M244" s="42" t="str">
        <f>A244</f>
        <v>Gameweek 13</v>
      </c>
      <c r="P244" s="16" t="s">
        <v>21</v>
      </c>
      <c r="Q244" s="16" t="s">
        <v>22</v>
      </c>
      <c r="R244" s="43" t="str">
        <f>A244</f>
        <v>Gameweek 13</v>
      </c>
      <c r="U244" s="17" t="s">
        <v>21</v>
      </c>
      <c r="V244" s="17" t="s">
        <v>22</v>
      </c>
      <c r="W244" s="44" t="str">
        <f>A244</f>
        <v>Gameweek 13</v>
      </c>
      <c r="Z244" s="18" t="s">
        <v>21</v>
      </c>
      <c r="AA244" s="18" t="s">
        <v>22</v>
      </c>
      <c r="AB244" s="45" t="str">
        <f>A244</f>
        <v>Gameweek 13</v>
      </c>
      <c r="AF244" s="19" t="s">
        <v>21</v>
      </c>
      <c r="AG244" s="19" t="s">
        <v>22</v>
      </c>
      <c r="AH244" s="19" t="s">
        <v>17</v>
      </c>
      <c r="AI244" s="19" t="s">
        <v>23</v>
      </c>
    </row>
    <row r="245">
      <c r="A245" s="47" t="str">
        <f>IFERROR(__xludf.DUMMYFUNCTION("IFERROR(ARRAYFORMULA(FLATTEN(SPLIT(REPT(TEXTJOIN("","", TRUE, FILTER({H$2, M$2, R$2}, {H245, M245, R245} &lt;&gt; """")) &amp; "","", CEILING(18 / COUNTA(FILTER({H$2, M$2, R$2}, {H245, M245, R245} &lt;&gt; """")))), "",""))), """")
"),"Blå")</f>
        <v>Blå</v>
      </c>
      <c r="B245" s="8">
        <v>2.0</v>
      </c>
      <c r="C245" s="8" t="str">
        <f t="shared" ref="C245:C262" si="74">IF(ISBLANK(A245), "", "-")
</f>
        <v>-</v>
      </c>
      <c r="D245" s="8">
        <v>1.0</v>
      </c>
      <c r="E245" s="48" t="str">
        <f t="array" ref="E245:E262">{A262; A245:A261}</f>
        <v>Grön</v>
      </c>
      <c r="F245" s="22" t="str">
        <f t="shared" ref="F245:F261" si="75">IF(AND(B245 &lt;&gt; "", D245 &lt;&gt; ""), IF(B245 &gt; D245, A245, IF(D245 &gt; B245, E245, "Oavgjort")), "")</f>
        <v>Blå</v>
      </c>
      <c r="G245" s="22" t="str">
        <f t="shared" ref="G245:G261" si="76">IF(AND(B245 &lt;&gt; "", D245 &lt;&gt; ""), IF(B245 &lt; D245, A245, IF(D245 &lt; B245, E245, "Oavgjort")), "")
</f>
        <v>Grön</v>
      </c>
      <c r="H245" s="52" t="s">
        <v>25</v>
      </c>
      <c r="I245" s="9">
        <v>3.0</v>
      </c>
      <c r="J245" s="9">
        <v>0.0</v>
      </c>
      <c r="K245" s="24">
        <f t="array" ref="K245:K262">IF(SEQUENCE(18, 1), COUNTIF(F245:F262, $H$2))
</f>
        <v>5</v>
      </c>
      <c r="L245" s="24">
        <f t="array" ref="L245:L262">IF(SEQUENCE(18, 1), COUNTIF(G245:G262, $H$2))
</f>
        <v>3</v>
      </c>
      <c r="M245" s="53" t="s">
        <v>24</v>
      </c>
      <c r="N245" s="10">
        <v>0.0</v>
      </c>
      <c r="O245" s="10">
        <v>1.0</v>
      </c>
      <c r="P245" s="26">
        <f t="array" ref="P245:P262">IF(SEQUENCE(18, 1), COUNTIF(F245:F262, $M$2))
</f>
        <v>1</v>
      </c>
      <c r="Q245" s="26">
        <f t="array" ref="Q245:Q262">IF(SEQUENCE(18, 1), COUNTIF(G245:G262, $M$2))
</f>
        <v>5</v>
      </c>
      <c r="R245" s="54" t="s">
        <v>66</v>
      </c>
      <c r="S245" s="11">
        <v>2.0</v>
      </c>
      <c r="T245" s="11">
        <v>1.0</v>
      </c>
      <c r="U245" s="28">
        <f t="array" ref="U245:U262">IF(SEQUENCE(18, 1), COUNTIF(F245:F262, $R$2))
</f>
        <v>5</v>
      </c>
      <c r="V245" s="28">
        <f t="array" ref="V245:V262">IF(SEQUENCE(18, 1), COUNTIF(G245:G262, $R$2))
</f>
        <v>3</v>
      </c>
      <c r="W245" s="50"/>
      <c r="X245" s="30">
        <v>0.0</v>
      </c>
      <c r="Y245" s="30">
        <v>0.0</v>
      </c>
      <c r="Z245" s="31">
        <f t="array" ref="Z245:Z262">IF(SEQUENCE(18, 1), COUNTIF(F245:F262, $W$2))
</f>
        <v>0</v>
      </c>
      <c r="AA245" s="31">
        <f t="array" ref="AA245:AA262">IF(SEQUENCE(18, 1), COUNTIF(G245:G262, $W$2))
</f>
        <v>0</v>
      </c>
      <c r="AB245" s="32" t="s">
        <v>9</v>
      </c>
      <c r="AC245" s="32"/>
      <c r="AD245" s="13">
        <v>0.0</v>
      </c>
      <c r="AE245" s="13">
        <v>0.0</v>
      </c>
      <c r="AF245" s="13">
        <f t="shared" ref="AF245:AF262" si="77">IF(AB245 = "Borta", AJ245, (IF(AB245 = "Hemma", AI245, 0)))</f>
        <v>7</v>
      </c>
      <c r="AG245" s="33">
        <f t="shared" ref="AG245:AG262" si="78">IF(AB245 = "Hemma", AJ245, (IF(AB245 = "Borta", AI245, 0)))</f>
        <v>4</v>
      </c>
      <c r="AH245" s="33">
        <f t="shared" ref="AH245:AH262" si="79">IF(AB245 = "Borta", AK245, (IF(AB245 = "Hemma", AL245, 0)))</f>
        <v>7</v>
      </c>
      <c r="AI245" s="33">
        <f t="array" ref="AI245:AI262">IF(F245 &lt;&gt; "",
     SEQUENCE(18,1,1,0)*SUM(IF(A245:A262 = F245:F262, 1, 0)),
     SEQUENCE(18,1,0,0)
  )</f>
        <v>7</v>
      </c>
      <c r="AJ245" s="33">
        <f t="array" ref="AJ245:AJ262">IF(G245 &lt;&gt; "",
     SEQUENCE(18,1,1,0)*SUM(IF(E245:E262 = F245:F262, 1, 0)),
     SEQUENCE(18,1,0,0)
  )</f>
        <v>4</v>
      </c>
      <c r="AK245" s="33">
        <f t="array" ref="AK245:AK262">IF(SEQUENCE(18, 1), COUNTIF(B245:B262, 0))</f>
        <v>5</v>
      </c>
      <c r="AL245" s="33">
        <f t="array" ref="AL245:AL262">IF(SEQUENCE(18, 1), COUNTIF(D245:D262, 0))</f>
        <v>7</v>
      </c>
    </row>
    <row r="246">
      <c r="A246" s="20" t="str">
        <f>IFERROR(__xludf.DUMMYFUNCTION("""COMPUTED_VALUE"""),"Rosa")</f>
        <v>Rosa</v>
      </c>
      <c r="B246" s="8">
        <v>1.0</v>
      </c>
      <c r="C246" s="8" t="str">
        <f t="shared" si="74"/>
        <v>-</v>
      </c>
      <c r="D246" s="8">
        <v>1.0</v>
      </c>
      <c r="E246" s="21" t="s">
        <v>2</v>
      </c>
      <c r="F246" s="22" t="str">
        <f t="shared" si="75"/>
        <v>Oavgjort</v>
      </c>
      <c r="G246" s="22" t="str">
        <f t="shared" si="76"/>
        <v>Oavgjort</v>
      </c>
      <c r="H246" s="52" t="s">
        <v>55</v>
      </c>
      <c r="I246" s="9">
        <v>3.0</v>
      </c>
      <c r="J246" s="9">
        <v>0.0</v>
      </c>
      <c r="K246" s="24">
        <v>5.0</v>
      </c>
      <c r="L246" s="24">
        <v>3.0</v>
      </c>
      <c r="M246" s="53" t="s">
        <v>26</v>
      </c>
      <c r="N246" s="10">
        <v>1.0</v>
      </c>
      <c r="O246" s="10">
        <v>0.0</v>
      </c>
      <c r="P246" s="26">
        <v>1.0</v>
      </c>
      <c r="Q246" s="26">
        <v>5.0</v>
      </c>
      <c r="R246" s="54" t="s">
        <v>72</v>
      </c>
      <c r="S246" s="11">
        <v>2.0</v>
      </c>
      <c r="T246" s="11">
        <v>2.0</v>
      </c>
      <c r="U246" s="28">
        <v>5.0</v>
      </c>
      <c r="V246" s="28">
        <v>3.0</v>
      </c>
      <c r="W246" s="50"/>
      <c r="X246" s="30">
        <v>0.0</v>
      </c>
      <c r="Y246" s="30">
        <v>0.0</v>
      </c>
      <c r="Z246" s="31">
        <v>0.0</v>
      </c>
      <c r="AA246" s="31">
        <v>0.0</v>
      </c>
      <c r="AB246" s="32" t="s">
        <v>11</v>
      </c>
      <c r="AC246" s="32"/>
      <c r="AD246" s="13">
        <v>0.0</v>
      </c>
      <c r="AE246" s="13">
        <v>0.0</v>
      </c>
      <c r="AF246" s="13">
        <f t="shared" si="77"/>
        <v>4</v>
      </c>
      <c r="AG246" s="33">
        <f t="shared" si="78"/>
        <v>7</v>
      </c>
      <c r="AH246" s="33">
        <f t="shared" si="79"/>
        <v>5</v>
      </c>
      <c r="AI246" s="33">
        <v>7.0</v>
      </c>
      <c r="AJ246" s="33">
        <v>4.0</v>
      </c>
      <c r="AK246" s="33">
        <v>5.0</v>
      </c>
      <c r="AL246" s="33">
        <v>7.0</v>
      </c>
    </row>
    <row r="247">
      <c r="A247" s="20" t="str">
        <f>IFERROR(__xludf.DUMMYFUNCTION("""COMPUTED_VALUE"""),"Grön")</f>
        <v>Grön</v>
      </c>
      <c r="B247" s="8">
        <v>2.0</v>
      </c>
      <c r="C247" s="8" t="str">
        <f t="shared" si="74"/>
        <v>-</v>
      </c>
      <c r="D247" s="8">
        <v>0.0</v>
      </c>
      <c r="E247" s="21" t="s">
        <v>5</v>
      </c>
      <c r="F247" s="22" t="str">
        <f t="shared" si="75"/>
        <v>Grön</v>
      </c>
      <c r="G247" s="22" t="str">
        <f t="shared" si="76"/>
        <v>Rosa</v>
      </c>
      <c r="H247" s="52" t="s">
        <v>65</v>
      </c>
      <c r="I247" s="9">
        <v>0.0</v>
      </c>
      <c r="J247" s="9">
        <v>1.0</v>
      </c>
      <c r="K247" s="24">
        <v>5.0</v>
      </c>
      <c r="L247" s="24">
        <v>3.0</v>
      </c>
      <c r="M247" s="53" t="s">
        <v>71</v>
      </c>
      <c r="N247" s="10">
        <v>2.0</v>
      </c>
      <c r="O247" s="10">
        <v>0.0</v>
      </c>
      <c r="P247" s="26">
        <v>1.0</v>
      </c>
      <c r="Q247" s="26">
        <v>5.0</v>
      </c>
      <c r="R247" s="54" t="s">
        <v>41</v>
      </c>
      <c r="S247" s="11">
        <v>3.0</v>
      </c>
      <c r="T247" s="11">
        <v>2.0</v>
      </c>
      <c r="U247" s="28">
        <v>5.0</v>
      </c>
      <c r="V247" s="28">
        <v>3.0</v>
      </c>
      <c r="W247" s="29"/>
      <c r="X247" s="30">
        <v>0.0</v>
      </c>
      <c r="Y247" s="30">
        <v>0.0</v>
      </c>
      <c r="Z247" s="31">
        <v>0.0</v>
      </c>
      <c r="AA247" s="31">
        <v>0.0</v>
      </c>
      <c r="AB247" s="34"/>
      <c r="AF247" s="13">
        <f t="shared" si="77"/>
        <v>0</v>
      </c>
      <c r="AG247" s="33">
        <f t="shared" si="78"/>
        <v>0</v>
      </c>
      <c r="AH247" s="33">
        <f t="shared" si="79"/>
        <v>0</v>
      </c>
      <c r="AI247" s="33">
        <v>7.0</v>
      </c>
      <c r="AJ247" s="33">
        <v>4.0</v>
      </c>
      <c r="AK247" s="33">
        <v>5.0</v>
      </c>
      <c r="AL247" s="33">
        <v>7.0</v>
      </c>
    </row>
    <row r="248">
      <c r="A248" s="20" t="str">
        <f>IFERROR(__xludf.DUMMYFUNCTION("""COMPUTED_VALUE"""),"Blå")</f>
        <v>Blå</v>
      </c>
      <c r="B248" s="8">
        <v>3.0</v>
      </c>
      <c r="C248" s="8" t="str">
        <f t="shared" si="74"/>
        <v>-</v>
      </c>
      <c r="D248" s="8">
        <v>0.0</v>
      </c>
      <c r="E248" s="21" t="s">
        <v>6</v>
      </c>
      <c r="F248" s="22" t="str">
        <f t="shared" si="75"/>
        <v>Blå</v>
      </c>
      <c r="G248" s="22" t="str">
        <f t="shared" si="76"/>
        <v>Grön</v>
      </c>
      <c r="H248" s="23" t="s">
        <v>58</v>
      </c>
      <c r="I248" s="9">
        <v>1.0</v>
      </c>
      <c r="J248" s="9">
        <v>5.0</v>
      </c>
      <c r="K248" s="24">
        <v>5.0</v>
      </c>
      <c r="L248" s="24">
        <v>3.0</v>
      </c>
      <c r="M248" s="53" t="s">
        <v>70</v>
      </c>
      <c r="N248" s="10">
        <v>0.0</v>
      </c>
      <c r="O248" s="10">
        <v>0.0</v>
      </c>
      <c r="P248" s="26">
        <v>1.0</v>
      </c>
      <c r="Q248" s="26">
        <v>5.0</v>
      </c>
      <c r="R248" s="54" t="s">
        <v>34</v>
      </c>
      <c r="S248" s="11">
        <v>2.0</v>
      </c>
      <c r="T248" s="11">
        <v>4.0</v>
      </c>
      <c r="U248" s="28">
        <v>5.0</v>
      </c>
      <c r="V248" s="28">
        <v>3.0</v>
      </c>
      <c r="W248" s="29"/>
      <c r="X248" s="30">
        <v>0.0</v>
      </c>
      <c r="Y248" s="30">
        <v>0.0</v>
      </c>
      <c r="Z248" s="31">
        <v>0.0</v>
      </c>
      <c r="AA248" s="31">
        <v>0.0</v>
      </c>
      <c r="AF248" s="13">
        <f t="shared" si="77"/>
        <v>0</v>
      </c>
      <c r="AG248" s="33">
        <f t="shared" si="78"/>
        <v>0</v>
      </c>
      <c r="AH248" s="33">
        <f t="shared" si="79"/>
        <v>0</v>
      </c>
      <c r="AI248" s="33">
        <v>7.0</v>
      </c>
      <c r="AJ248" s="33">
        <v>4.0</v>
      </c>
      <c r="AK248" s="33">
        <v>5.0</v>
      </c>
      <c r="AL248" s="33">
        <v>7.0</v>
      </c>
    </row>
    <row r="249">
      <c r="A249" s="20" t="str">
        <f>IFERROR(__xludf.DUMMYFUNCTION("""COMPUTED_VALUE"""),"Rosa")</f>
        <v>Rosa</v>
      </c>
      <c r="B249" s="8">
        <v>0.0</v>
      </c>
      <c r="C249" s="8" t="str">
        <f t="shared" si="74"/>
        <v>-</v>
      </c>
      <c r="D249" s="8">
        <v>1.0</v>
      </c>
      <c r="E249" s="21" t="s">
        <v>2</v>
      </c>
      <c r="F249" s="22" t="str">
        <f t="shared" si="75"/>
        <v>Blå</v>
      </c>
      <c r="G249" s="22" t="str">
        <f t="shared" si="76"/>
        <v>Rosa</v>
      </c>
      <c r="H249" s="23" t="s">
        <v>57</v>
      </c>
      <c r="I249" s="9">
        <v>5.0</v>
      </c>
      <c r="J249" s="9">
        <v>2.0</v>
      </c>
      <c r="K249" s="24">
        <v>5.0</v>
      </c>
      <c r="L249" s="24">
        <v>3.0</v>
      </c>
      <c r="M249" s="35"/>
      <c r="N249" s="10">
        <v>0.0</v>
      </c>
      <c r="O249" s="10">
        <v>0.0</v>
      </c>
      <c r="P249" s="26">
        <v>1.0</v>
      </c>
      <c r="Q249" s="26">
        <v>5.0</v>
      </c>
      <c r="R249" s="27"/>
      <c r="S249" s="11">
        <v>0.0</v>
      </c>
      <c r="T249" s="11">
        <v>0.0</v>
      </c>
      <c r="U249" s="28">
        <v>5.0</v>
      </c>
      <c r="V249" s="28">
        <v>3.0</v>
      </c>
      <c r="W249" s="29"/>
      <c r="X249" s="30">
        <v>0.0</v>
      </c>
      <c r="Y249" s="30">
        <v>0.0</v>
      </c>
      <c r="Z249" s="31">
        <v>0.0</v>
      </c>
      <c r="AA249" s="31">
        <v>0.0</v>
      </c>
      <c r="AF249" s="13">
        <f t="shared" si="77"/>
        <v>0</v>
      </c>
      <c r="AG249" s="33">
        <f t="shared" si="78"/>
        <v>0</v>
      </c>
      <c r="AH249" s="33">
        <f t="shared" si="79"/>
        <v>0</v>
      </c>
      <c r="AI249" s="33">
        <v>7.0</v>
      </c>
      <c r="AJ249" s="33">
        <v>4.0</v>
      </c>
      <c r="AK249" s="33">
        <v>5.0</v>
      </c>
      <c r="AL249" s="33">
        <v>7.0</v>
      </c>
    </row>
    <row r="250">
      <c r="A250" s="20" t="str">
        <f>IFERROR(__xludf.DUMMYFUNCTION("""COMPUTED_VALUE"""),"Grön")</f>
        <v>Grön</v>
      </c>
      <c r="B250" s="8">
        <v>3.0</v>
      </c>
      <c r="C250" s="8" t="str">
        <f t="shared" si="74"/>
        <v>-</v>
      </c>
      <c r="D250" s="8">
        <v>0.0</v>
      </c>
      <c r="E250" s="21" t="s">
        <v>5</v>
      </c>
      <c r="F250" s="22" t="str">
        <f t="shared" si="75"/>
        <v>Grön</v>
      </c>
      <c r="G250" s="22" t="str">
        <f t="shared" si="76"/>
        <v>Rosa</v>
      </c>
      <c r="H250" s="38"/>
      <c r="I250" s="9">
        <v>0.0</v>
      </c>
      <c r="J250" s="9">
        <v>0.0</v>
      </c>
      <c r="K250" s="24">
        <v>5.0</v>
      </c>
      <c r="L250" s="24">
        <v>3.0</v>
      </c>
      <c r="M250" s="35"/>
      <c r="N250" s="10">
        <v>0.0</v>
      </c>
      <c r="O250" s="10">
        <v>0.0</v>
      </c>
      <c r="P250" s="26">
        <v>1.0</v>
      </c>
      <c r="Q250" s="26">
        <v>5.0</v>
      </c>
      <c r="R250" s="36"/>
      <c r="S250" s="11">
        <v>0.0</v>
      </c>
      <c r="T250" s="11">
        <v>0.0</v>
      </c>
      <c r="U250" s="28">
        <v>5.0</v>
      </c>
      <c r="V250" s="28">
        <v>3.0</v>
      </c>
      <c r="W250" s="29"/>
      <c r="X250" s="30">
        <v>0.0</v>
      </c>
      <c r="Y250" s="30">
        <v>0.0</v>
      </c>
      <c r="Z250" s="31">
        <v>0.0</v>
      </c>
      <c r="AA250" s="31">
        <v>0.0</v>
      </c>
      <c r="AF250" s="13">
        <f t="shared" si="77"/>
        <v>0</v>
      </c>
      <c r="AG250" s="33">
        <f t="shared" si="78"/>
        <v>0</v>
      </c>
      <c r="AH250" s="33">
        <f t="shared" si="79"/>
        <v>0</v>
      </c>
      <c r="AI250" s="33">
        <v>7.0</v>
      </c>
      <c r="AJ250" s="33">
        <v>4.0</v>
      </c>
      <c r="AK250" s="33">
        <v>5.0</v>
      </c>
      <c r="AL250" s="33">
        <v>7.0</v>
      </c>
    </row>
    <row r="251">
      <c r="A251" s="20" t="str">
        <f>IFERROR(__xludf.DUMMYFUNCTION("""COMPUTED_VALUE"""),"Blå")</f>
        <v>Blå</v>
      </c>
      <c r="B251" s="8">
        <v>1.0</v>
      </c>
      <c r="C251" s="8" t="str">
        <f t="shared" si="74"/>
        <v>-</v>
      </c>
      <c r="D251" s="8">
        <v>0.0</v>
      </c>
      <c r="E251" s="21" t="s">
        <v>6</v>
      </c>
      <c r="F251" s="22" t="str">
        <f t="shared" si="75"/>
        <v>Blå</v>
      </c>
      <c r="G251" s="22" t="str">
        <f t="shared" si="76"/>
        <v>Grön</v>
      </c>
      <c r="H251" s="23"/>
      <c r="I251" s="9">
        <v>0.0</v>
      </c>
      <c r="J251" s="9">
        <v>0.0</v>
      </c>
      <c r="K251" s="24">
        <v>5.0</v>
      </c>
      <c r="L251" s="24">
        <v>3.0</v>
      </c>
      <c r="M251" s="35"/>
      <c r="N251" s="10">
        <v>0.0</v>
      </c>
      <c r="O251" s="10">
        <v>0.0</v>
      </c>
      <c r="P251" s="26">
        <v>1.0</v>
      </c>
      <c r="Q251" s="26">
        <v>5.0</v>
      </c>
      <c r="R251" s="36"/>
      <c r="S251" s="11">
        <v>0.0</v>
      </c>
      <c r="T251" s="11">
        <v>0.0</v>
      </c>
      <c r="U251" s="28">
        <v>5.0</v>
      </c>
      <c r="V251" s="28">
        <v>3.0</v>
      </c>
      <c r="W251" s="29"/>
      <c r="X251" s="30">
        <v>0.0</v>
      </c>
      <c r="Y251" s="30">
        <v>0.0</v>
      </c>
      <c r="Z251" s="31">
        <v>0.0</v>
      </c>
      <c r="AA251" s="31">
        <v>0.0</v>
      </c>
      <c r="AF251" s="13">
        <f t="shared" si="77"/>
        <v>0</v>
      </c>
      <c r="AG251" s="33">
        <f t="shared" si="78"/>
        <v>0</v>
      </c>
      <c r="AH251" s="33">
        <f t="shared" si="79"/>
        <v>0</v>
      </c>
      <c r="AI251" s="33">
        <v>7.0</v>
      </c>
      <c r="AJ251" s="33">
        <v>4.0</v>
      </c>
      <c r="AK251" s="33">
        <v>5.0</v>
      </c>
      <c r="AL251" s="33">
        <v>7.0</v>
      </c>
    </row>
    <row r="252">
      <c r="A252" s="20" t="str">
        <f>IFERROR(__xludf.DUMMYFUNCTION("""COMPUTED_VALUE"""),"Rosa")</f>
        <v>Rosa</v>
      </c>
      <c r="B252" s="8">
        <v>0.0</v>
      </c>
      <c r="C252" s="8" t="str">
        <f t="shared" si="74"/>
        <v>-</v>
      </c>
      <c r="D252" s="8">
        <v>3.0</v>
      </c>
      <c r="E252" s="21" t="s">
        <v>2</v>
      </c>
      <c r="F252" s="22" t="str">
        <f t="shared" si="75"/>
        <v>Blå</v>
      </c>
      <c r="G252" s="22" t="str">
        <f t="shared" si="76"/>
        <v>Rosa</v>
      </c>
      <c r="H252" s="38"/>
      <c r="K252" s="24">
        <v>5.0</v>
      </c>
      <c r="L252" s="24">
        <v>3.0</v>
      </c>
      <c r="M252" s="35"/>
      <c r="P252" s="26">
        <v>1.0</v>
      </c>
      <c r="Q252" s="26">
        <v>5.0</v>
      </c>
      <c r="R252" s="36"/>
      <c r="U252" s="28">
        <v>5.0</v>
      </c>
      <c r="V252" s="28">
        <v>3.0</v>
      </c>
      <c r="W252" s="37"/>
      <c r="Z252" s="31">
        <v>0.0</v>
      </c>
      <c r="AA252" s="31">
        <v>0.0</v>
      </c>
      <c r="AF252" s="13">
        <f t="shared" si="77"/>
        <v>0</v>
      </c>
      <c r="AG252" s="33">
        <f t="shared" si="78"/>
        <v>0</v>
      </c>
      <c r="AH252" s="33">
        <f t="shared" si="79"/>
        <v>0</v>
      </c>
      <c r="AI252" s="33">
        <v>7.0</v>
      </c>
      <c r="AJ252" s="33">
        <v>4.0</v>
      </c>
      <c r="AK252" s="33">
        <v>5.0</v>
      </c>
      <c r="AL252" s="33">
        <v>7.0</v>
      </c>
    </row>
    <row r="253">
      <c r="A253" s="20" t="str">
        <f>IFERROR(__xludf.DUMMYFUNCTION("""COMPUTED_VALUE"""),"Grön")</f>
        <v>Grön</v>
      </c>
      <c r="B253" s="8">
        <v>1.0</v>
      </c>
      <c r="C253" s="8" t="str">
        <f t="shared" si="74"/>
        <v>-</v>
      </c>
      <c r="D253" s="8">
        <v>0.0</v>
      </c>
      <c r="E253" s="21" t="s">
        <v>5</v>
      </c>
      <c r="F253" s="22" t="str">
        <f t="shared" si="75"/>
        <v>Grön</v>
      </c>
      <c r="G253" s="22" t="str">
        <f t="shared" si="76"/>
        <v>Rosa</v>
      </c>
      <c r="K253" s="24">
        <v>5.0</v>
      </c>
      <c r="L253" s="24">
        <v>3.0</v>
      </c>
      <c r="P253" s="26">
        <v>1.0</v>
      </c>
      <c r="Q253" s="26">
        <v>5.0</v>
      </c>
      <c r="U253" s="28">
        <v>5.0</v>
      </c>
      <c r="V253" s="28">
        <v>3.0</v>
      </c>
      <c r="Z253" s="31">
        <v>0.0</v>
      </c>
      <c r="AA253" s="31">
        <v>0.0</v>
      </c>
      <c r="AF253" s="13">
        <f t="shared" si="77"/>
        <v>0</v>
      </c>
      <c r="AG253" s="33">
        <f t="shared" si="78"/>
        <v>0</v>
      </c>
      <c r="AH253" s="33">
        <f t="shared" si="79"/>
        <v>0</v>
      </c>
      <c r="AI253" s="33">
        <v>7.0</v>
      </c>
      <c r="AJ253" s="33">
        <v>4.0</v>
      </c>
      <c r="AK253" s="33">
        <v>5.0</v>
      </c>
      <c r="AL253" s="33">
        <v>7.0</v>
      </c>
    </row>
    <row r="254">
      <c r="A254" s="20" t="str">
        <f>IFERROR(__xludf.DUMMYFUNCTION("""COMPUTED_VALUE"""),"Blå")</f>
        <v>Blå</v>
      </c>
      <c r="B254" s="8">
        <v>0.0</v>
      </c>
      <c r="C254" s="8" t="str">
        <f t="shared" si="74"/>
        <v>-</v>
      </c>
      <c r="D254" s="8">
        <v>1.0</v>
      </c>
      <c r="E254" s="21" t="s">
        <v>6</v>
      </c>
      <c r="F254" s="22" t="str">
        <f t="shared" si="75"/>
        <v>Grön</v>
      </c>
      <c r="G254" s="22" t="str">
        <f t="shared" si="76"/>
        <v>Blå</v>
      </c>
      <c r="K254" s="24">
        <v>5.0</v>
      </c>
      <c r="L254" s="24">
        <v>3.0</v>
      </c>
      <c r="P254" s="26">
        <v>1.0</v>
      </c>
      <c r="Q254" s="26">
        <v>5.0</v>
      </c>
      <c r="U254" s="28">
        <v>5.0</v>
      </c>
      <c r="V254" s="28">
        <v>3.0</v>
      </c>
      <c r="Z254" s="31">
        <v>0.0</v>
      </c>
      <c r="AA254" s="31">
        <v>0.0</v>
      </c>
      <c r="AF254" s="13">
        <f t="shared" si="77"/>
        <v>0</v>
      </c>
      <c r="AG254" s="33">
        <f t="shared" si="78"/>
        <v>0</v>
      </c>
      <c r="AH254" s="33">
        <f t="shared" si="79"/>
        <v>0</v>
      </c>
      <c r="AI254" s="33">
        <v>7.0</v>
      </c>
      <c r="AJ254" s="33">
        <v>4.0</v>
      </c>
      <c r="AK254" s="33">
        <v>5.0</v>
      </c>
      <c r="AL254" s="33">
        <v>7.0</v>
      </c>
    </row>
    <row r="255">
      <c r="A255" s="20" t="str">
        <f>IFERROR(__xludf.DUMMYFUNCTION("""COMPUTED_VALUE"""),"Rosa")</f>
        <v>Rosa</v>
      </c>
      <c r="B255" s="8">
        <v>1.0</v>
      </c>
      <c r="C255" s="8" t="str">
        <f t="shared" si="74"/>
        <v>-</v>
      </c>
      <c r="D255" s="8">
        <v>0.0</v>
      </c>
      <c r="E255" s="21" t="s">
        <v>2</v>
      </c>
      <c r="F255" s="22" t="str">
        <f t="shared" si="75"/>
        <v>Rosa</v>
      </c>
      <c r="G255" s="22" t="str">
        <f t="shared" si="76"/>
        <v>Blå</v>
      </c>
      <c r="K255" s="24">
        <v>5.0</v>
      </c>
      <c r="L255" s="24">
        <v>3.0</v>
      </c>
      <c r="P255" s="26">
        <v>1.0</v>
      </c>
      <c r="Q255" s="26">
        <v>5.0</v>
      </c>
      <c r="U255" s="28">
        <v>5.0</v>
      </c>
      <c r="V255" s="28">
        <v>3.0</v>
      </c>
      <c r="Z255" s="31">
        <v>0.0</v>
      </c>
      <c r="AA255" s="31">
        <v>0.0</v>
      </c>
      <c r="AF255" s="13">
        <f t="shared" si="77"/>
        <v>0</v>
      </c>
      <c r="AG255" s="33">
        <f t="shared" si="78"/>
        <v>0</v>
      </c>
      <c r="AH255" s="33">
        <f t="shared" si="79"/>
        <v>0</v>
      </c>
      <c r="AI255" s="33">
        <v>7.0</v>
      </c>
      <c r="AJ255" s="33">
        <v>4.0</v>
      </c>
      <c r="AK255" s="33">
        <v>5.0</v>
      </c>
      <c r="AL255" s="33">
        <v>7.0</v>
      </c>
    </row>
    <row r="256">
      <c r="A256" s="20" t="str">
        <f>IFERROR(__xludf.DUMMYFUNCTION("""COMPUTED_VALUE"""),"Grön")</f>
        <v>Grön</v>
      </c>
      <c r="B256" s="8">
        <v>0.0</v>
      </c>
      <c r="C256" s="8" t="str">
        <f t="shared" si="74"/>
        <v>-</v>
      </c>
      <c r="D256" s="8">
        <v>0.0</v>
      </c>
      <c r="E256" s="21" t="s">
        <v>5</v>
      </c>
      <c r="F256" s="22" t="str">
        <f t="shared" si="75"/>
        <v>Oavgjort</v>
      </c>
      <c r="G256" s="22" t="str">
        <f t="shared" si="76"/>
        <v>Oavgjort</v>
      </c>
      <c r="K256" s="24">
        <v>5.0</v>
      </c>
      <c r="L256" s="24">
        <v>3.0</v>
      </c>
      <c r="P256" s="26">
        <v>1.0</v>
      </c>
      <c r="Q256" s="26">
        <v>5.0</v>
      </c>
      <c r="U256" s="28">
        <v>5.0</v>
      </c>
      <c r="V256" s="28">
        <v>3.0</v>
      </c>
      <c r="Z256" s="31">
        <v>0.0</v>
      </c>
      <c r="AA256" s="31">
        <v>0.0</v>
      </c>
      <c r="AF256" s="13">
        <f t="shared" si="77"/>
        <v>0</v>
      </c>
      <c r="AG256" s="33">
        <f t="shared" si="78"/>
        <v>0</v>
      </c>
      <c r="AH256" s="33">
        <f t="shared" si="79"/>
        <v>0</v>
      </c>
      <c r="AI256" s="33">
        <v>7.0</v>
      </c>
      <c r="AJ256" s="33">
        <v>4.0</v>
      </c>
      <c r="AK256" s="33">
        <v>5.0</v>
      </c>
      <c r="AL256" s="33">
        <v>7.0</v>
      </c>
    </row>
    <row r="257">
      <c r="A257" s="20" t="str">
        <f>IFERROR(__xludf.DUMMYFUNCTION("""COMPUTED_VALUE"""),"Blå")</f>
        <v>Blå</v>
      </c>
      <c r="B257" s="8">
        <v>0.0</v>
      </c>
      <c r="C257" s="8" t="str">
        <f t="shared" si="74"/>
        <v>-</v>
      </c>
      <c r="D257" s="8">
        <v>1.0</v>
      </c>
      <c r="E257" s="21" t="s">
        <v>6</v>
      </c>
      <c r="F257" s="22" t="str">
        <f t="shared" si="75"/>
        <v>Grön</v>
      </c>
      <c r="G257" s="22" t="str">
        <f t="shared" si="76"/>
        <v>Blå</v>
      </c>
      <c r="K257" s="24">
        <v>5.0</v>
      </c>
      <c r="L257" s="24">
        <v>3.0</v>
      </c>
      <c r="P257" s="26">
        <v>1.0</v>
      </c>
      <c r="Q257" s="26">
        <v>5.0</v>
      </c>
      <c r="U257" s="28">
        <v>5.0</v>
      </c>
      <c r="V257" s="28">
        <v>3.0</v>
      </c>
      <c r="Z257" s="31">
        <v>0.0</v>
      </c>
      <c r="AA257" s="31">
        <v>0.0</v>
      </c>
      <c r="AF257" s="13">
        <f t="shared" si="77"/>
        <v>0</v>
      </c>
      <c r="AG257" s="33">
        <f t="shared" si="78"/>
        <v>0</v>
      </c>
      <c r="AH257" s="33">
        <f t="shared" si="79"/>
        <v>0</v>
      </c>
      <c r="AI257" s="33">
        <v>7.0</v>
      </c>
      <c r="AJ257" s="33">
        <v>4.0</v>
      </c>
      <c r="AK257" s="33">
        <v>5.0</v>
      </c>
      <c r="AL257" s="33">
        <v>7.0</v>
      </c>
    </row>
    <row r="258">
      <c r="A258" s="20" t="str">
        <f>IFERROR(__xludf.DUMMYFUNCTION("""COMPUTED_VALUE"""),"Rosa")</f>
        <v>Rosa</v>
      </c>
      <c r="B258" s="8">
        <v>1.0</v>
      </c>
      <c r="C258" s="8" t="str">
        <f t="shared" si="74"/>
        <v>-</v>
      </c>
      <c r="D258" s="8">
        <v>1.0</v>
      </c>
      <c r="E258" s="21" t="s">
        <v>2</v>
      </c>
      <c r="F258" s="22" t="str">
        <f t="shared" si="75"/>
        <v>Oavgjort</v>
      </c>
      <c r="G258" s="22" t="str">
        <f t="shared" si="76"/>
        <v>Oavgjort</v>
      </c>
      <c r="K258" s="24">
        <v>5.0</v>
      </c>
      <c r="L258" s="24">
        <v>3.0</v>
      </c>
      <c r="P258" s="26">
        <v>1.0</v>
      </c>
      <c r="Q258" s="26">
        <v>5.0</v>
      </c>
      <c r="U258" s="28">
        <v>5.0</v>
      </c>
      <c r="V258" s="28">
        <v>3.0</v>
      </c>
      <c r="Z258" s="31">
        <v>0.0</v>
      </c>
      <c r="AA258" s="31">
        <v>0.0</v>
      </c>
      <c r="AF258" s="13">
        <f t="shared" si="77"/>
        <v>0</v>
      </c>
      <c r="AG258" s="33">
        <f t="shared" si="78"/>
        <v>0</v>
      </c>
      <c r="AH258" s="33">
        <f t="shared" si="79"/>
        <v>0</v>
      </c>
      <c r="AI258" s="33">
        <v>7.0</v>
      </c>
      <c r="AJ258" s="33">
        <v>4.0</v>
      </c>
      <c r="AK258" s="33">
        <v>5.0</v>
      </c>
      <c r="AL258" s="33">
        <v>7.0</v>
      </c>
    </row>
    <row r="259">
      <c r="A259" s="20" t="str">
        <f>IFERROR(__xludf.DUMMYFUNCTION("""COMPUTED_VALUE"""),"Grön")</f>
        <v>Grön</v>
      </c>
      <c r="B259" s="8"/>
      <c r="C259" s="8" t="str">
        <f t="shared" si="74"/>
        <v>-</v>
      </c>
      <c r="D259" s="8"/>
      <c r="E259" s="21" t="s">
        <v>5</v>
      </c>
      <c r="F259" s="22" t="str">
        <f t="shared" si="75"/>
        <v/>
      </c>
      <c r="G259" s="22" t="str">
        <f t="shared" si="76"/>
        <v/>
      </c>
      <c r="K259" s="24">
        <v>5.0</v>
      </c>
      <c r="L259" s="24">
        <v>3.0</v>
      </c>
      <c r="P259" s="26">
        <v>1.0</v>
      </c>
      <c r="Q259" s="26">
        <v>5.0</v>
      </c>
      <c r="U259" s="28">
        <v>5.0</v>
      </c>
      <c r="V259" s="28">
        <v>3.0</v>
      </c>
      <c r="Z259" s="31">
        <v>0.0</v>
      </c>
      <c r="AA259" s="31">
        <v>0.0</v>
      </c>
      <c r="AF259" s="13">
        <f t="shared" si="77"/>
        <v>0</v>
      </c>
      <c r="AG259" s="33">
        <f t="shared" si="78"/>
        <v>0</v>
      </c>
      <c r="AH259" s="33">
        <f t="shared" si="79"/>
        <v>0</v>
      </c>
      <c r="AI259" s="33">
        <v>7.0</v>
      </c>
      <c r="AJ259" s="33">
        <v>4.0</v>
      </c>
      <c r="AK259" s="33">
        <v>5.0</v>
      </c>
      <c r="AL259" s="33">
        <v>7.0</v>
      </c>
    </row>
    <row r="260">
      <c r="A260" s="20" t="str">
        <f>IFERROR(__xludf.DUMMYFUNCTION("""COMPUTED_VALUE"""),"Blå")</f>
        <v>Blå</v>
      </c>
      <c r="B260" s="8"/>
      <c r="C260" s="8" t="str">
        <f t="shared" si="74"/>
        <v>-</v>
      </c>
      <c r="D260" s="22"/>
      <c r="E260" s="21" t="s">
        <v>6</v>
      </c>
      <c r="F260" s="22" t="str">
        <f t="shared" si="75"/>
        <v/>
      </c>
      <c r="G260" s="22" t="str">
        <f t="shared" si="76"/>
        <v/>
      </c>
      <c r="K260" s="24">
        <v>5.0</v>
      </c>
      <c r="L260" s="24">
        <v>3.0</v>
      </c>
      <c r="P260" s="26">
        <v>1.0</v>
      </c>
      <c r="Q260" s="26">
        <v>5.0</v>
      </c>
      <c r="U260" s="28">
        <v>5.0</v>
      </c>
      <c r="V260" s="28">
        <v>3.0</v>
      </c>
      <c r="Z260" s="31">
        <v>0.0</v>
      </c>
      <c r="AA260" s="31">
        <v>0.0</v>
      </c>
      <c r="AF260" s="13">
        <f t="shared" si="77"/>
        <v>0</v>
      </c>
      <c r="AG260" s="33">
        <f t="shared" si="78"/>
        <v>0</v>
      </c>
      <c r="AH260" s="33">
        <f t="shared" si="79"/>
        <v>0</v>
      </c>
      <c r="AI260" s="33">
        <v>7.0</v>
      </c>
      <c r="AJ260" s="33">
        <v>4.0</v>
      </c>
      <c r="AK260" s="33">
        <v>5.0</v>
      </c>
      <c r="AL260" s="33">
        <v>7.0</v>
      </c>
    </row>
    <row r="261">
      <c r="A261" s="39" t="str">
        <f>IFERROR(__xludf.DUMMYFUNCTION("""COMPUTED_VALUE"""),"Rosa")</f>
        <v>Rosa</v>
      </c>
      <c r="B261" s="8"/>
      <c r="C261" s="8" t="str">
        <f t="shared" si="74"/>
        <v>-</v>
      </c>
      <c r="D261" s="8"/>
      <c r="E261" s="46" t="s">
        <v>2</v>
      </c>
      <c r="F261" s="22" t="str">
        <f t="shared" si="75"/>
        <v/>
      </c>
      <c r="G261" s="22" t="str">
        <f t="shared" si="76"/>
        <v/>
      </c>
      <c r="K261" s="24">
        <v>5.0</v>
      </c>
      <c r="L261" s="24">
        <v>3.0</v>
      </c>
      <c r="P261" s="26">
        <v>1.0</v>
      </c>
      <c r="Q261" s="26">
        <v>5.0</v>
      </c>
      <c r="U261" s="28">
        <v>5.0</v>
      </c>
      <c r="V261" s="28">
        <v>3.0</v>
      </c>
      <c r="Z261" s="31">
        <v>0.0</v>
      </c>
      <c r="AA261" s="31">
        <v>0.0</v>
      </c>
      <c r="AF261" s="13">
        <f t="shared" si="77"/>
        <v>0</v>
      </c>
      <c r="AG261" s="33">
        <f t="shared" si="78"/>
        <v>0</v>
      </c>
      <c r="AH261" s="33">
        <f t="shared" si="79"/>
        <v>0</v>
      </c>
      <c r="AI261" s="33">
        <v>7.0</v>
      </c>
      <c r="AJ261" s="33">
        <v>4.0</v>
      </c>
      <c r="AK261" s="33">
        <v>5.0</v>
      </c>
      <c r="AL261" s="33">
        <v>7.0</v>
      </c>
    </row>
    <row r="262">
      <c r="A262" s="39" t="str">
        <f>IFERROR(__xludf.DUMMYFUNCTION("""COMPUTED_VALUE"""),"Grön")</f>
        <v>Grön</v>
      </c>
      <c r="B262" s="22"/>
      <c r="C262" s="8" t="str">
        <f t="shared" si="74"/>
        <v>-</v>
      </c>
      <c r="D262" s="22"/>
      <c r="E262" s="46" t="s">
        <v>5</v>
      </c>
      <c r="F262" s="22"/>
      <c r="G262" s="22"/>
      <c r="K262" s="24">
        <v>5.0</v>
      </c>
      <c r="L262" s="24">
        <v>3.0</v>
      </c>
      <c r="P262" s="26">
        <v>1.0</v>
      </c>
      <c r="Q262" s="26">
        <v>5.0</v>
      </c>
      <c r="U262" s="28">
        <v>5.0</v>
      </c>
      <c r="V262" s="28">
        <v>3.0</v>
      </c>
      <c r="Z262" s="31">
        <v>0.0</v>
      </c>
      <c r="AA262" s="31">
        <v>0.0</v>
      </c>
      <c r="AF262" s="13">
        <f t="shared" si="77"/>
        <v>0</v>
      </c>
      <c r="AG262" s="33">
        <f t="shared" si="78"/>
        <v>0</v>
      </c>
      <c r="AH262" s="33">
        <f t="shared" si="79"/>
        <v>0</v>
      </c>
      <c r="AI262" s="33">
        <v>7.0</v>
      </c>
      <c r="AJ262" s="33">
        <v>4.0</v>
      </c>
      <c r="AK262" s="33">
        <v>5.0</v>
      </c>
      <c r="AL262" s="33">
        <v>7.0</v>
      </c>
    </row>
    <row r="263">
      <c r="A263" s="39"/>
      <c r="AH263" s="39"/>
      <c r="AI263" s="39"/>
      <c r="AJ263" s="39"/>
      <c r="AK263" s="39"/>
      <c r="AL263" s="39"/>
    </row>
    <row r="264">
      <c r="A264" s="40" t="str">
        <f>IFERROR(__xludf.DUMMYFUNCTION("""Gameweek "" &amp; (VALUE(REGEXEXTRACT(A244, ""Gameweek (\d+)"")) + 1)"),"Gameweek 14")</f>
        <v>Gameweek 14</v>
      </c>
      <c r="F264" s="40"/>
      <c r="G264" s="40"/>
      <c r="H264" s="41" t="str">
        <f>A264</f>
        <v>Gameweek 14</v>
      </c>
      <c r="K264" s="15" t="s">
        <v>21</v>
      </c>
      <c r="L264" s="15" t="s">
        <v>22</v>
      </c>
      <c r="M264" s="42"/>
      <c r="P264" s="16" t="s">
        <v>21</v>
      </c>
      <c r="Q264" s="16" t="s">
        <v>22</v>
      </c>
      <c r="R264" s="43" t="str">
        <f>A264</f>
        <v>Gameweek 14</v>
      </c>
      <c r="U264" s="17" t="s">
        <v>21</v>
      </c>
      <c r="V264" s="17" t="s">
        <v>22</v>
      </c>
      <c r="W264" s="44" t="str">
        <f>A264</f>
        <v>Gameweek 14</v>
      </c>
      <c r="Z264" s="18" t="s">
        <v>21</v>
      </c>
      <c r="AA264" s="18" t="s">
        <v>22</v>
      </c>
      <c r="AB264" s="45" t="str">
        <f>A264</f>
        <v>Gameweek 14</v>
      </c>
      <c r="AF264" s="19" t="s">
        <v>21</v>
      </c>
      <c r="AG264" s="19" t="s">
        <v>22</v>
      </c>
      <c r="AH264" s="19" t="s">
        <v>17</v>
      </c>
      <c r="AI264" s="19" t="s">
        <v>23</v>
      </c>
    </row>
    <row r="265">
      <c r="A265" s="20" t="s">
        <v>2</v>
      </c>
      <c r="B265" s="8">
        <v>0.0</v>
      </c>
      <c r="C265" s="8" t="str">
        <f t="shared" ref="C265:C282" si="80">IF(ISBLANK(A265), "", "-")
</f>
        <v>-</v>
      </c>
      <c r="D265" s="8">
        <v>0.0</v>
      </c>
      <c r="E265" s="21" t="s">
        <v>5</v>
      </c>
      <c r="F265" s="22" t="str">
        <f t="shared" ref="F265:F281" si="81">IF(AND(B265 &lt;&gt; "", D265 &lt;&gt; ""), IF(B265 &gt; D265, A265, IF(D265 &gt; B265, E265, "Oavgjort")), "")</f>
        <v>Oavgjort</v>
      </c>
      <c r="G265" s="22" t="str">
        <f t="shared" ref="G265:G281" si="82">IF(AND(B265 &lt;&gt; "", D265 &lt;&gt; ""), IF(B265 &lt; D265, A265, IF(D265 &lt; B265, E265, "Oavgjort")), "")
</f>
        <v>Oavgjort</v>
      </c>
      <c r="H265" s="23" t="s">
        <v>34</v>
      </c>
      <c r="I265" s="9">
        <v>1.0</v>
      </c>
      <c r="J265" s="9">
        <v>3.0</v>
      </c>
      <c r="K265" s="24">
        <f t="array" ref="K265:K282">IF(SEQUENCE(18, 1), COUNTIF(F265:F282, $H$2))
</f>
        <v>6</v>
      </c>
      <c r="L265" s="24">
        <f t="array" ref="L265:L282">IF(SEQUENCE(18, 1), COUNTIF(G265:G282, $H$2))
</f>
        <v>1</v>
      </c>
      <c r="M265" s="53" t="s">
        <v>25</v>
      </c>
      <c r="N265" s="10">
        <v>1.0</v>
      </c>
      <c r="O265" s="10">
        <v>0.0</v>
      </c>
      <c r="P265" s="26">
        <f t="array" ref="P265:P282">IF(SEQUENCE(18, 1), COUNTIF(F265:F282, $M$2))
</f>
        <v>1</v>
      </c>
      <c r="Q265" s="26">
        <f t="array" ref="Q265:Q282">IF(SEQUENCE(18, 1), COUNTIF(G265:G282, $M$2))
</f>
        <v>6</v>
      </c>
      <c r="R265" s="55"/>
      <c r="S265" s="11">
        <v>0.0</v>
      </c>
      <c r="T265" s="11">
        <v>0.0</v>
      </c>
      <c r="U265" s="28">
        <f t="array" ref="U265:U282">IF(SEQUENCE(18, 1), COUNTIF(F265:F282, $R$2))
</f>
        <v>0</v>
      </c>
      <c r="V265" s="28">
        <f t="array" ref="V265:V282">IF(SEQUENCE(18, 1), COUNTIF(G265:G282, $R$2))
</f>
        <v>0</v>
      </c>
      <c r="W265" s="50"/>
      <c r="X265" s="30">
        <v>0.0</v>
      </c>
      <c r="Y265" s="30">
        <v>0.0</v>
      </c>
      <c r="Z265" s="31">
        <f t="array" ref="Z265:Z282">IF(SEQUENCE(18, 1), COUNTIF(F265:F282, $W$2))
</f>
        <v>0</v>
      </c>
      <c r="AA265" s="31">
        <f t="array" ref="AA265:AA282">IF(SEQUENCE(18, 1), COUNTIF(G265:G282, $W$2))
</f>
        <v>0</v>
      </c>
      <c r="AB265" s="32" t="s">
        <v>9</v>
      </c>
      <c r="AC265" s="32" t="s">
        <v>30</v>
      </c>
      <c r="AD265" s="13">
        <v>2.0</v>
      </c>
      <c r="AE265" s="13">
        <v>1.0</v>
      </c>
      <c r="AF265" s="13">
        <f t="shared" ref="AF265:AF282" si="83">IF(AB265 = "Borta", AJ265, (IF(AB265 = "Hemma", AI265, 0)))</f>
        <v>6</v>
      </c>
      <c r="AG265" s="33">
        <f t="shared" ref="AG265:AG282" si="84">IF(AB265 = "Hemma", AJ265, (IF(AB265 = "Borta", AI265, 0)))</f>
        <v>1</v>
      </c>
      <c r="AH265" s="33">
        <f t="shared" ref="AH265:AH282" si="85">IF(AB265 = "Borta", AK265, (IF(AB265 = "Hemma", AL265, 0)))</f>
        <v>7</v>
      </c>
      <c r="AI265" s="33">
        <f t="array" ref="AI265:AI282">IF(F265 &lt;&gt; "",
     SEQUENCE(18,1,1,0)*SUM(IF(A265:A282 = F265:F282, 1, 0)),
     SEQUENCE(18,1,0,0)
  )</f>
        <v>6</v>
      </c>
      <c r="AJ265" s="33">
        <f t="array" ref="AJ265:AJ282">IF(G265 &lt;&gt; "",
     SEQUENCE(18,1,1,0)*SUM(IF(E265:E282 = F265:F282, 1, 0)),
     SEQUENCE(18,1,0,0)
  )</f>
        <v>1</v>
      </c>
      <c r="AK265" s="33">
        <f t="array" ref="AK265:AK282">IF(SEQUENCE(18, 1), COUNTIF(B265:B282, 0))</f>
        <v>3</v>
      </c>
      <c r="AL265" s="33">
        <f t="array" ref="AL265:AL282">IF(SEQUENCE(18, 1), COUNTIF(D265:D282, 0))</f>
        <v>7</v>
      </c>
    </row>
    <row r="266">
      <c r="A266" s="20" t="s">
        <v>2</v>
      </c>
      <c r="B266" s="8">
        <v>0.0</v>
      </c>
      <c r="C266" s="8" t="str">
        <f t="shared" si="80"/>
        <v>-</v>
      </c>
      <c r="D266" s="8">
        <v>0.0</v>
      </c>
      <c r="E266" s="21" t="s">
        <v>5</v>
      </c>
      <c r="F266" s="22" t="str">
        <f t="shared" si="81"/>
        <v>Oavgjort</v>
      </c>
      <c r="G266" s="22" t="str">
        <f t="shared" si="82"/>
        <v>Oavgjort</v>
      </c>
      <c r="H266" s="52" t="s">
        <v>71</v>
      </c>
      <c r="I266" s="9">
        <v>2.0</v>
      </c>
      <c r="J266" s="9">
        <v>0.0</v>
      </c>
      <c r="K266" s="24">
        <v>6.0</v>
      </c>
      <c r="L266" s="24">
        <v>1.0</v>
      </c>
      <c r="M266" s="53" t="s">
        <v>41</v>
      </c>
      <c r="N266" s="10">
        <v>0.0</v>
      </c>
      <c r="O266" s="10">
        <v>0.0</v>
      </c>
      <c r="P266" s="26">
        <v>1.0</v>
      </c>
      <c r="Q266" s="26">
        <v>6.0</v>
      </c>
      <c r="R266" s="55"/>
      <c r="S266" s="11">
        <v>0.0</v>
      </c>
      <c r="T266" s="11">
        <v>0.0</v>
      </c>
      <c r="U266" s="28">
        <v>0.0</v>
      </c>
      <c r="V266" s="28">
        <v>0.0</v>
      </c>
      <c r="W266" s="50"/>
      <c r="X266" s="30">
        <v>0.0</v>
      </c>
      <c r="Y266" s="30">
        <v>0.0</v>
      </c>
      <c r="Z266" s="31">
        <v>0.0</v>
      </c>
      <c r="AA266" s="31">
        <v>0.0</v>
      </c>
      <c r="AB266" s="32" t="s">
        <v>11</v>
      </c>
      <c r="AC266" s="32"/>
      <c r="AD266" s="13">
        <v>0.0</v>
      </c>
      <c r="AE266" s="13">
        <v>0.0</v>
      </c>
      <c r="AF266" s="13">
        <f t="shared" si="83"/>
        <v>1</v>
      </c>
      <c r="AG266" s="33">
        <f t="shared" si="84"/>
        <v>6</v>
      </c>
      <c r="AH266" s="33">
        <f t="shared" si="85"/>
        <v>3</v>
      </c>
      <c r="AI266" s="33">
        <v>6.0</v>
      </c>
      <c r="AJ266" s="33">
        <v>1.0</v>
      </c>
      <c r="AK266" s="33">
        <v>3.0</v>
      </c>
      <c r="AL266" s="33">
        <v>7.0</v>
      </c>
    </row>
    <row r="267">
      <c r="A267" s="20" t="s">
        <v>2</v>
      </c>
      <c r="B267" s="8">
        <v>2.0</v>
      </c>
      <c r="C267" s="8" t="str">
        <f t="shared" si="80"/>
        <v>-</v>
      </c>
      <c r="D267" s="8">
        <v>0.0</v>
      </c>
      <c r="E267" s="21" t="s">
        <v>5</v>
      </c>
      <c r="F267" s="22" t="str">
        <f t="shared" si="81"/>
        <v>Blå</v>
      </c>
      <c r="G267" s="22" t="str">
        <f t="shared" si="82"/>
        <v>Rosa</v>
      </c>
      <c r="H267" s="52" t="s">
        <v>24</v>
      </c>
      <c r="I267" s="9">
        <v>1.0</v>
      </c>
      <c r="J267" s="9">
        <v>3.0</v>
      </c>
      <c r="K267" s="24">
        <v>6.0</v>
      </c>
      <c r="L267" s="24">
        <v>1.0</v>
      </c>
      <c r="M267" s="53" t="s">
        <v>35</v>
      </c>
      <c r="N267" s="10">
        <v>1.0</v>
      </c>
      <c r="O267" s="10">
        <v>1.0</v>
      </c>
      <c r="P267" s="26">
        <v>1.0</v>
      </c>
      <c r="Q267" s="26">
        <v>6.0</v>
      </c>
      <c r="R267" s="55"/>
      <c r="S267" s="11">
        <v>0.0</v>
      </c>
      <c r="T267" s="11">
        <v>0.0</v>
      </c>
      <c r="U267" s="28">
        <v>0.0</v>
      </c>
      <c r="V267" s="28">
        <v>0.0</v>
      </c>
      <c r="W267" s="29"/>
      <c r="X267" s="30">
        <v>0.0</v>
      </c>
      <c r="Y267" s="30">
        <v>0.0</v>
      </c>
      <c r="Z267" s="31">
        <v>0.0</v>
      </c>
      <c r="AA267" s="31">
        <v>0.0</v>
      </c>
      <c r="AB267" s="34"/>
      <c r="AF267" s="13">
        <f t="shared" si="83"/>
        <v>0</v>
      </c>
      <c r="AG267" s="33">
        <f t="shared" si="84"/>
        <v>0</v>
      </c>
      <c r="AH267" s="33">
        <f t="shared" si="85"/>
        <v>0</v>
      </c>
      <c r="AI267" s="33">
        <v>6.0</v>
      </c>
      <c r="AJ267" s="33">
        <v>1.0</v>
      </c>
      <c r="AK267" s="33">
        <v>3.0</v>
      </c>
      <c r="AL267" s="33">
        <v>7.0</v>
      </c>
    </row>
    <row r="268">
      <c r="A268" s="20" t="s">
        <v>2</v>
      </c>
      <c r="B268" s="8">
        <v>2.0</v>
      </c>
      <c r="C268" s="8" t="str">
        <f t="shared" si="80"/>
        <v>-</v>
      </c>
      <c r="D268" s="8">
        <v>0.0</v>
      </c>
      <c r="E268" s="21" t="s">
        <v>5</v>
      </c>
      <c r="F268" s="22" t="str">
        <f t="shared" si="81"/>
        <v>Blå</v>
      </c>
      <c r="G268" s="22" t="str">
        <f t="shared" si="82"/>
        <v>Rosa</v>
      </c>
      <c r="H268" s="23" t="s">
        <v>72</v>
      </c>
      <c r="I268" s="9">
        <v>3.0</v>
      </c>
      <c r="J268" s="9">
        <v>2.0</v>
      </c>
      <c r="K268" s="24">
        <v>6.0</v>
      </c>
      <c r="L268" s="24">
        <v>1.0</v>
      </c>
      <c r="M268" s="53" t="s">
        <v>26</v>
      </c>
      <c r="N268" s="10">
        <v>0.0</v>
      </c>
      <c r="O268" s="10">
        <v>0.0</v>
      </c>
      <c r="P268" s="26">
        <v>1.0</v>
      </c>
      <c r="Q268" s="26">
        <v>6.0</v>
      </c>
      <c r="R268" s="55"/>
      <c r="S268" s="11">
        <v>0.0</v>
      </c>
      <c r="T268" s="11">
        <v>0.0</v>
      </c>
      <c r="U268" s="28">
        <v>0.0</v>
      </c>
      <c r="V268" s="28">
        <v>0.0</v>
      </c>
      <c r="W268" s="29"/>
      <c r="X268" s="30">
        <v>0.0</v>
      </c>
      <c r="Y268" s="30">
        <v>0.0</v>
      </c>
      <c r="Z268" s="31">
        <v>0.0</v>
      </c>
      <c r="AA268" s="31">
        <v>0.0</v>
      </c>
      <c r="AF268" s="13">
        <f t="shared" si="83"/>
        <v>0</v>
      </c>
      <c r="AG268" s="33">
        <f t="shared" si="84"/>
        <v>0</v>
      </c>
      <c r="AH268" s="33">
        <f t="shared" si="85"/>
        <v>0</v>
      </c>
      <c r="AI268" s="33">
        <v>6.0</v>
      </c>
      <c r="AJ268" s="33">
        <v>1.0</v>
      </c>
      <c r="AK268" s="33">
        <v>3.0</v>
      </c>
      <c r="AL268" s="33">
        <v>7.0</v>
      </c>
    </row>
    <row r="269">
      <c r="A269" s="20" t="s">
        <v>2</v>
      </c>
      <c r="B269" s="8">
        <v>1.0</v>
      </c>
      <c r="C269" s="8" t="str">
        <f t="shared" si="80"/>
        <v>-</v>
      </c>
      <c r="D269" s="8">
        <v>0.0</v>
      </c>
      <c r="E269" s="21" t="s">
        <v>5</v>
      </c>
      <c r="F269" s="22" t="str">
        <f t="shared" si="81"/>
        <v>Blå</v>
      </c>
      <c r="G269" s="22" t="str">
        <f t="shared" si="82"/>
        <v>Rosa</v>
      </c>
      <c r="H269" s="23" t="s">
        <v>33</v>
      </c>
      <c r="I269" s="9">
        <v>2.0</v>
      </c>
      <c r="J269" s="9">
        <v>0.0</v>
      </c>
      <c r="K269" s="24">
        <v>6.0</v>
      </c>
      <c r="L269" s="24">
        <v>1.0</v>
      </c>
      <c r="M269" s="25" t="s">
        <v>60</v>
      </c>
      <c r="N269" s="10">
        <v>1.0</v>
      </c>
      <c r="O269" s="10">
        <v>1.0</v>
      </c>
      <c r="P269" s="26">
        <v>1.0</v>
      </c>
      <c r="Q269" s="26">
        <v>6.0</v>
      </c>
      <c r="R269" s="27"/>
      <c r="S269" s="11">
        <v>0.0</v>
      </c>
      <c r="T269" s="11">
        <v>0.0</v>
      </c>
      <c r="U269" s="28">
        <v>0.0</v>
      </c>
      <c r="V269" s="28">
        <v>0.0</v>
      </c>
      <c r="W269" s="29"/>
      <c r="X269" s="30">
        <v>0.0</v>
      </c>
      <c r="Y269" s="30">
        <v>0.0</v>
      </c>
      <c r="Z269" s="31">
        <v>0.0</v>
      </c>
      <c r="AA269" s="31">
        <v>0.0</v>
      </c>
      <c r="AF269" s="13">
        <f t="shared" si="83"/>
        <v>0</v>
      </c>
      <c r="AG269" s="33">
        <f t="shared" si="84"/>
        <v>0</v>
      </c>
      <c r="AH269" s="33">
        <f t="shared" si="85"/>
        <v>0</v>
      </c>
      <c r="AI269" s="33">
        <v>6.0</v>
      </c>
      <c r="AJ269" s="33">
        <v>1.0</v>
      </c>
      <c r="AK269" s="33">
        <v>3.0</v>
      </c>
      <c r="AL269" s="33">
        <v>7.0</v>
      </c>
    </row>
    <row r="270">
      <c r="A270" s="20" t="s">
        <v>2</v>
      </c>
      <c r="B270" s="8">
        <v>0.0</v>
      </c>
      <c r="C270" s="8" t="str">
        <f t="shared" si="80"/>
        <v>-</v>
      </c>
      <c r="D270" s="8">
        <v>2.0</v>
      </c>
      <c r="E270" s="21" t="s">
        <v>5</v>
      </c>
      <c r="F270" s="22" t="str">
        <f t="shared" si="81"/>
        <v>Rosa</v>
      </c>
      <c r="G270" s="22" t="str">
        <f t="shared" si="82"/>
        <v>Blå</v>
      </c>
      <c r="H270" s="38"/>
      <c r="I270" s="9">
        <v>0.0</v>
      </c>
      <c r="J270" s="9">
        <v>0.0</v>
      </c>
      <c r="K270" s="24">
        <v>6.0</v>
      </c>
      <c r="L270" s="24">
        <v>1.0</v>
      </c>
      <c r="M270" s="35"/>
      <c r="N270" s="10">
        <v>0.0</v>
      </c>
      <c r="O270" s="10">
        <v>0.0</v>
      </c>
      <c r="P270" s="26">
        <v>1.0</v>
      </c>
      <c r="Q270" s="26">
        <v>6.0</v>
      </c>
      <c r="R270" s="36"/>
      <c r="S270" s="11">
        <v>0.0</v>
      </c>
      <c r="T270" s="11">
        <v>0.0</v>
      </c>
      <c r="U270" s="28">
        <v>0.0</v>
      </c>
      <c r="V270" s="28">
        <v>0.0</v>
      </c>
      <c r="W270" s="29"/>
      <c r="X270" s="30">
        <v>0.0</v>
      </c>
      <c r="Y270" s="30">
        <v>0.0</v>
      </c>
      <c r="Z270" s="31">
        <v>0.0</v>
      </c>
      <c r="AA270" s="31">
        <v>0.0</v>
      </c>
      <c r="AF270" s="13">
        <f t="shared" si="83"/>
        <v>0</v>
      </c>
      <c r="AG270" s="33">
        <f t="shared" si="84"/>
        <v>0</v>
      </c>
      <c r="AH270" s="33">
        <f t="shared" si="85"/>
        <v>0</v>
      </c>
      <c r="AI270" s="33">
        <v>6.0</v>
      </c>
      <c r="AJ270" s="33">
        <v>1.0</v>
      </c>
      <c r="AK270" s="33">
        <v>3.0</v>
      </c>
      <c r="AL270" s="33">
        <v>7.0</v>
      </c>
    </row>
    <row r="271">
      <c r="A271" s="20" t="s">
        <v>2</v>
      </c>
      <c r="B271" s="8">
        <v>1.0</v>
      </c>
      <c r="C271" s="8" t="str">
        <f t="shared" si="80"/>
        <v>-</v>
      </c>
      <c r="D271" s="8">
        <v>0.0</v>
      </c>
      <c r="E271" s="21" t="s">
        <v>5</v>
      </c>
      <c r="F271" s="22" t="str">
        <f t="shared" si="81"/>
        <v>Blå</v>
      </c>
      <c r="G271" s="22" t="str">
        <f t="shared" si="82"/>
        <v>Rosa</v>
      </c>
      <c r="H271" s="23"/>
      <c r="I271" s="9">
        <v>0.0</v>
      </c>
      <c r="J271" s="9">
        <v>0.0</v>
      </c>
      <c r="K271" s="24">
        <v>6.0</v>
      </c>
      <c r="L271" s="24">
        <v>1.0</v>
      </c>
      <c r="M271" s="35"/>
      <c r="N271" s="10">
        <v>0.0</v>
      </c>
      <c r="O271" s="10">
        <v>0.0</v>
      </c>
      <c r="P271" s="26">
        <v>1.0</v>
      </c>
      <c r="Q271" s="26">
        <v>6.0</v>
      </c>
      <c r="R271" s="36"/>
      <c r="S271" s="11">
        <v>0.0</v>
      </c>
      <c r="T271" s="11">
        <v>0.0</v>
      </c>
      <c r="U271" s="28">
        <v>0.0</v>
      </c>
      <c r="V271" s="28">
        <v>0.0</v>
      </c>
      <c r="W271" s="29"/>
      <c r="X271" s="30">
        <v>0.0</v>
      </c>
      <c r="Y271" s="30">
        <v>0.0</v>
      </c>
      <c r="Z271" s="31">
        <v>0.0</v>
      </c>
      <c r="AA271" s="31">
        <v>0.0</v>
      </c>
      <c r="AF271" s="13">
        <f t="shared" si="83"/>
        <v>0</v>
      </c>
      <c r="AG271" s="33">
        <f t="shared" si="84"/>
        <v>0</v>
      </c>
      <c r="AH271" s="33">
        <f t="shared" si="85"/>
        <v>0</v>
      </c>
      <c r="AI271" s="33">
        <v>6.0</v>
      </c>
      <c r="AJ271" s="33">
        <v>1.0</v>
      </c>
      <c r="AK271" s="33">
        <v>3.0</v>
      </c>
      <c r="AL271" s="33">
        <v>7.0</v>
      </c>
    </row>
    <row r="272">
      <c r="A272" s="20" t="s">
        <v>2</v>
      </c>
      <c r="B272" s="8">
        <v>1.0</v>
      </c>
      <c r="C272" s="8" t="str">
        <f t="shared" si="80"/>
        <v>-</v>
      </c>
      <c r="D272" s="8">
        <v>0.0</v>
      </c>
      <c r="E272" s="21" t="s">
        <v>5</v>
      </c>
      <c r="F272" s="22" t="str">
        <f t="shared" si="81"/>
        <v>Blå</v>
      </c>
      <c r="G272" s="22" t="str">
        <f t="shared" si="82"/>
        <v>Rosa</v>
      </c>
      <c r="H272" s="38"/>
      <c r="K272" s="24">
        <v>6.0</v>
      </c>
      <c r="L272" s="24">
        <v>1.0</v>
      </c>
      <c r="M272" s="35"/>
      <c r="P272" s="26">
        <v>1.0</v>
      </c>
      <c r="Q272" s="26">
        <v>6.0</v>
      </c>
      <c r="R272" s="36"/>
      <c r="U272" s="28">
        <v>0.0</v>
      </c>
      <c r="V272" s="28">
        <v>0.0</v>
      </c>
      <c r="W272" s="37"/>
      <c r="Z272" s="31">
        <v>0.0</v>
      </c>
      <c r="AA272" s="31">
        <v>0.0</v>
      </c>
      <c r="AF272" s="13">
        <f t="shared" si="83"/>
        <v>0</v>
      </c>
      <c r="AG272" s="33">
        <f t="shared" si="84"/>
        <v>0</v>
      </c>
      <c r="AH272" s="33">
        <f t="shared" si="85"/>
        <v>0</v>
      </c>
      <c r="AI272" s="33">
        <v>6.0</v>
      </c>
      <c r="AJ272" s="33">
        <v>1.0</v>
      </c>
      <c r="AK272" s="33">
        <v>3.0</v>
      </c>
      <c r="AL272" s="33">
        <v>7.0</v>
      </c>
    </row>
    <row r="273">
      <c r="A273" s="20" t="s">
        <v>2</v>
      </c>
      <c r="B273" s="8">
        <v>2.0</v>
      </c>
      <c r="C273" s="8" t="str">
        <f t="shared" si="80"/>
        <v>-</v>
      </c>
      <c r="D273" s="8">
        <v>1.0</v>
      </c>
      <c r="E273" s="21" t="s">
        <v>5</v>
      </c>
      <c r="F273" s="22" t="str">
        <f t="shared" si="81"/>
        <v>Blå</v>
      </c>
      <c r="G273" s="22" t="str">
        <f t="shared" si="82"/>
        <v>Rosa</v>
      </c>
      <c r="K273" s="24">
        <v>6.0</v>
      </c>
      <c r="L273" s="24">
        <v>1.0</v>
      </c>
      <c r="P273" s="26">
        <v>1.0</v>
      </c>
      <c r="Q273" s="26">
        <v>6.0</v>
      </c>
      <c r="U273" s="28">
        <v>0.0</v>
      </c>
      <c r="V273" s="28">
        <v>0.0</v>
      </c>
      <c r="Z273" s="31">
        <v>0.0</v>
      </c>
      <c r="AA273" s="31">
        <v>0.0</v>
      </c>
      <c r="AF273" s="13">
        <f t="shared" si="83"/>
        <v>0</v>
      </c>
      <c r="AG273" s="33">
        <f t="shared" si="84"/>
        <v>0</v>
      </c>
      <c r="AH273" s="33">
        <f t="shared" si="85"/>
        <v>0</v>
      </c>
      <c r="AI273" s="33">
        <v>6.0</v>
      </c>
      <c r="AJ273" s="33">
        <v>1.0</v>
      </c>
      <c r="AK273" s="33">
        <v>3.0</v>
      </c>
      <c r="AL273" s="33">
        <v>7.0</v>
      </c>
    </row>
    <row r="274">
      <c r="A274" s="20" t="s">
        <v>2</v>
      </c>
      <c r="B274" s="8"/>
      <c r="C274" s="8" t="str">
        <f t="shared" si="80"/>
        <v>-</v>
      </c>
      <c r="D274" s="8"/>
      <c r="E274" s="21" t="s">
        <v>5</v>
      </c>
      <c r="F274" s="22" t="str">
        <f t="shared" si="81"/>
        <v/>
      </c>
      <c r="G274" s="22" t="str">
        <f t="shared" si="82"/>
        <v/>
      </c>
      <c r="K274" s="24">
        <v>6.0</v>
      </c>
      <c r="L274" s="24">
        <v>1.0</v>
      </c>
      <c r="P274" s="26">
        <v>1.0</v>
      </c>
      <c r="Q274" s="26">
        <v>6.0</v>
      </c>
      <c r="U274" s="28">
        <v>0.0</v>
      </c>
      <c r="V274" s="28">
        <v>0.0</v>
      </c>
      <c r="Z274" s="31">
        <v>0.0</v>
      </c>
      <c r="AA274" s="31">
        <v>0.0</v>
      </c>
      <c r="AF274" s="13">
        <f t="shared" si="83"/>
        <v>0</v>
      </c>
      <c r="AG274" s="33">
        <f t="shared" si="84"/>
        <v>0</v>
      </c>
      <c r="AH274" s="33">
        <f t="shared" si="85"/>
        <v>0</v>
      </c>
      <c r="AI274" s="33">
        <v>6.0</v>
      </c>
      <c r="AJ274" s="33">
        <v>1.0</v>
      </c>
      <c r="AK274" s="33">
        <v>3.0</v>
      </c>
      <c r="AL274" s="33">
        <v>7.0</v>
      </c>
    </row>
    <row r="275">
      <c r="A275" s="20" t="s">
        <v>2</v>
      </c>
      <c r="B275" s="8"/>
      <c r="C275" s="8" t="str">
        <f t="shared" si="80"/>
        <v>-</v>
      </c>
      <c r="D275" s="8"/>
      <c r="E275" s="21" t="s">
        <v>5</v>
      </c>
      <c r="F275" s="22" t="str">
        <f t="shared" si="81"/>
        <v/>
      </c>
      <c r="G275" s="22" t="str">
        <f t="shared" si="82"/>
        <v/>
      </c>
      <c r="K275" s="24">
        <v>6.0</v>
      </c>
      <c r="L275" s="24">
        <v>1.0</v>
      </c>
      <c r="P275" s="26">
        <v>1.0</v>
      </c>
      <c r="Q275" s="26">
        <v>6.0</v>
      </c>
      <c r="U275" s="28">
        <v>0.0</v>
      </c>
      <c r="V275" s="28">
        <v>0.0</v>
      </c>
      <c r="Z275" s="31">
        <v>0.0</v>
      </c>
      <c r="AA275" s="31">
        <v>0.0</v>
      </c>
      <c r="AF275" s="13">
        <f t="shared" si="83"/>
        <v>0</v>
      </c>
      <c r="AG275" s="33">
        <f t="shared" si="84"/>
        <v>0</v>
      </c>
      <c r="AH275" s="33">
        <f t="shared" si="85"/>
        <v>0</v>
      </c>
      <c r="AI275" s="33">
        <v>6.0</v>
      </c>
      <c r="AJ275" s="33">
        <v>1.0</v>
      </c>
      <c r="AK275" s="33">
        <v>3.0</v>
      </c>
      <c r="AL275" s="33">
        <v>7.0</v>
      </c>
    </row>
    <row r="276">
      <c r="A276" s="20" t="s">
        <v>2</v>
      </c>
      <c r="B276" s="8"/>
      <c r="C276" s="8" t="str">
        <f t="shared" si="80"/>
        <v>-</v>
      </c>
      <c r="D276" s="8"/>
      <c r="E276" s="21" t="s">
        <v>5</v>
      </c>
      <c r="F276" s="22" t="str">
        <f t="shared" si="81"/>
        <v/>
      </c>
      <c r="G276" s="22" t="str">
        <f t="shared" si="82"/>
        <v/>
      </c>
      <c r="K276" s="24">
        <v>6.0</v>
      </c>
      <c r="L276" s="24">
        <v>1.0</v>
      </c>
      <c r="P276" s="26">
        <v>1.0</v>
      </c>
      <c r="Q276" s="26">
        <v>6.0</v>
      </c>
      <c r="U276" s="28">
        <v>0.0</v>
      </c>
      <c r="V276" s="28">
        <v>0.0</v>
      </c>
      <c r="Z276" s="31">
        <v>0.0</v>
      </c>
      <c r="AA276" s="31">
        <v>0.0</v>
      </c>
      <c r="AF276" s="13">
        <f t="shared" si="83"/>
        <v>0</v>
      </c>
      <c r="AG276" s="33">
        <f t="shared" si="84"/>
        <v>0</v>
      </c>
      <c r="AH276" s="33">
        <f t="shared" si="85"/>
        <v>0</v>
      </c>
      <c r="AI276" s="33">
        <v>6.0</v>
      </c>
      <c r="AJ276" s="33">
        <v>1.0</v>
      </c>
      <c r="AK276" s="33">
        <v>3.0</v>
      </c>
      <c r="AL276" s="33">
        <v>7.0</v>
      </c>
    </row>
    <row r="277">
      <c r="A277" s="20" t="s">
        <v>2</v>
      </c>
      <c r="B277" s="8"/>
      <c r="C277" s="8" t="str">
        <f t="shared" si="80"/>
        <v>-</v>
      </c>
      <c r="D277" s="8"/>
      <c r="E277" s="21" t="s">
        <v>5</v>
      </c>
      <c r="F277" s="22" t="str">
        <f t="shared" si="81"/>
        <v/>
      </c>
      <c r="G277" s="22" t="str">
        <f t="shared" si="82"/>
        <v/>
      </c>
      <c r="K277" s="24">
        <v>6.0</v>
      </c>
      <c r="L277" s="24">
        <v>1.0</v>
      </c>
      <c r="P277" s="26">
        <v>1.0</v>
      </c>
      <c r="Q277" s="26">
        <v>6.0</v>
      </c>
      <c r="U277" s="28">
        <v>0.0</v>
      </c>
      <c r="V277" s="28">
        <v>0.0</v>
      </c>
      <c r="Z277" s="31">
        <v>0.0</v>
      </c>
      <c r="AA277" s="31">
        <v>0.0</v>
      </c>
      <c r="AF277" s="13">
        <f t="shared" si="83"/>
        <v>0</v>
      </c>
      <c r="AG277" s="33">
        <f t="shared" si="84"/>
        <v>0</v>
      </c>
      <c r="AH277" s="33">
        <f t="shared" si="85"/>
        <v>0</v>
      </c>
      <c r="AI277" s="33">
        <v>6.0</v>
      </c>
      <c r="AJ277" s="33">
        <v>1.0</v>
      </c>
      <c r="AK277" s="33">
        <v>3.0</v>
      </c>
      <c r="AL277" s="33">
        <v>7.0</v>
      </c>
    </row>
    <row r="278">
      <c r="A278" s="20" t="s">
        <v>2</v>
      </c>
      <c r="B278" s="8"/>
      <c r="C278" s="8" t="str">
        <f t="shared" si="80"/>
        <v>-</v>
      </c>
      <c r="D278" s="8"/>
      <c r="E278" s="21" t="s">
        <v>5</v>
      </c>
      <c r="F278" s="22" t="str">
        <f t="shared" si="81"/>
        <v/>
      </c>
      <c r="G278" s="22" t="str">
        <f t="shared" si="82"/>
        <v/>
      </c>
      <c r="K278" s="24">
        <v>6.0</v>
      </c>
      <c r="L278" s="24">
        <v>1.0</v>
      </c>
      <c r="P278" s="26">
        <v>1.0</v>
      </c>
      <c r="Q278" s="26">
        <v>6.0</v>
      </c>
      <c r="U278" s="28">
        <v>0.0</v>
      </c>
      <c r="V278" s="28">
        <v>0.0</v>
      </c>
      <c r="Z278" s="31">
        <v>0.0</v>
      </c>
      <c r="AA278" s="31">
        <v>0.0</v>
      </c>
      <c r="AF278" s="13">
        <f t="shared" si="83"/>
        <v>0</v>
      </c>
      <c r="AG278" s="33">
        <f t="shared" si="84"/>
        <v>0</v>
      </c>
      <c r="AH278" s="33">
        <f t="shared" si="85"/>
        <v>0</v>
      </c>
      <c r="AI278" s="33">
        <v>6.0</v>
      </c>
      <c r="AJ278" s="33">
        <v>1.0</v>
      </c>
      <c r="AK278" s="33">
        <v>3.0</v>
      </c>
      <c r="AL278" s="33">
        <v>7.0</v>
      </c>
    </row>
    <row r="279">
      <c r="A279" s="20" t="s">
        <v>2</v>
      </c>
      <c r="B279" s="8"/>
      <c r="C279" s="8" t="str">
        <f t="shared" si="80"/>
        <v>-</v>
      </c>
      <c r="D279" s="8"/>
      <c r="E279" s="21" t="s">
        <v>5</v>
      </c>
      <c r="F279" s="22" t="str">
        <f t="shared" si="81"/>
        <v/>
      </c>
      <c r="G279" s="22" t="str">
        <f t="shared" si="82"/>
        <v/>
      </c>
      <c r="K279" s="24">
        <v>6.0</v>
      </c>
      <c r="L279" s="24">
        <v>1.0</v>
      </c>
      <c r="P279" s="26">
        <v>1.0</v>
      </c>
      <c r="Q279" s="26">
        <v>6.0</v>
      </c>
      <c r="U279" s="28">
        <v>0.0</v>
      </c>
      <c r="V279" s="28">
        <v>0.0</v>
      </c>
      <c r="Z279" s="31">
        <v>0.0</v>
      </c>
      <c r="AA279" s="31">
        <v>0.0</v>
      </c>
      <c r="AF279" s="13">
        <f t="shared" si="83"/>
        <v>0</v>
      </c>
      <c r="AG279" s="33">
        <f t="shared" si="84"/>
        <v>0</v>
      </c>
      <c r="AH279" s="33">
        <f t="shared" si="85"/>
        <v>0</v>
      </c>
      <c r="AI279" s="33">
        <v>6.0</v>
      </c>
      <c r="AJ279" s="33">
        <v>1.0</v>
      </c>
      <c r="AK279" s="33">
        <v>3.0</v>
      </c>
      <c r="AL279" s="33">
        <v>7.0</v>
      </c>
    </row>
    <row r="280">
      <c r="A280" s="20" t="s">
        <v>2</v>
      </c>
      <c r="B280" s="8"/>
      <c r="C280" s="8" t="str">
        <f t="shared" si="80"/>
        <v>-</v>
      </c>
      <c r="D280" s="22"/>
      <c r="E280" s="21" t="s">
        <v>5</v>
      </c>
      <c r="F280" s="22" t="str">
        <f t="shared" si="81"/>
        <v/>
      </c>
      <c r="G280" s="22" t="str">
        <f t="shared" si="82"/>
        <v/>
      </c>
      <c r="K280" s="24">
        <v>6.0</v>
      </c>
      <c r="L280" s="24">
        <v>1.0</v>
      </c>
      <c r="P280" s="26">
        <v>1.0</v>
      </c>
      <c r="Q280" s="26">
        <v>6.0</v>
      </c>
      <c r="U280" s="28">
        <v>0.0</v>
      </c>
      <c r="V280" s="28">
        <v>0.0</v>
      </c>
      <c r="Z280" s="31">
        <v>0.0</v>
      </c>
      <c r="AA280" s="31">
        <v>0.0</v>
      </c>
      <c r="AF280" s="13">
        <f t="shared" si="83"/>
        <v>0</v>
      </c>
      <c r="AG280" s="33">
        <f t="shared" si="84"/>
        <v>0</v>
      </c>
      <c r="AH280" s="33">
        <f t="shared" si="85"/>
        <v>0</v>
      </c>
      <c r="AI280" s="33">
        <v>6.0</v>
      </c>
      <c r="AJ280" s="33">
        <v>1.0</v>
      </c>
      <c r="AK280" s="33">
        <v>3.0</v>
      </c>
      <c r="AL280" s="33">
        <v>7.0</v>
      </c>
    </row>
    <row r="281">
      <c r="A281" s="20" t="s">
        <v>2</v>
      </c>
      <c r="B281" s="8"/>
      <c r="C281" s="8" t="str">
        <f t="shared" si="80"/>
        <v>-</v>
      </c>
      <c r="D281" s="8"/>
      <c r="E281" s="21" t="s">
        <v>5</v>
      </c>
      <c r="F281" s="22" t="str">
        <f t="shared" si="81"/>
        <v/>
      </c>
      <c r="G281" s="22" t="str">
        <f t="shared" si="82"/>
        <v/>
      </c>
      <c r="K281" s="24">
        <v>6.0</v>
      </c>
      <c r="L281" s="24">
        <v>1.0</v>
      </c>
      <c r="P281" s="26">
        <v>1.0</v>
      </c>
      <c r="Q281" s="26">
        <v>6.0</v>
      </c>
      <c r="U281" s="28">
        <v>0.0</v>
      </c>
      <c r="V281" s="28">
        <v>0.0</v>
      </c>
      <c r="Z281" s="31">
        <v>0.0</v>
      </c>
      <c r="AA281" s="31">
        <v>0.0</v>
      </c>
      <c r="AF281" s="13">
        <f t="shared" si="83"/>
        <v>0</v>
      </c>
      <c r="AG281" s="33">
        <f t="shared" si="84"/>
        <v>0</v>
      </c>
      <c r="AH281" s="33">
        <f t="shared" si="85"/>
        <v>0</v>
      </c>
      <c r="AI281" s="33">
        <v>6.0</v>
      </c>
      <c r="AJ281" s="33">
        <v>1.0</v>
      </c>
      <c r="AK281" s="33">
        <v>3.0</v>
      </c>
      <c r="AL281" s="33">
        <v>7.0</v>
      </c>
    </row>
    <row r="282">
      <c r="A282" s="20" t="s">
        <v>2</v>
      </c>
      <c r="B282" s="22"/>
      <c r="C282" s="8" t="str">
        <f t="shared" si="80"/>
        <v>-</v>
      </c>
      <c r="D282" s="22"/>
      <c r="E282" s="21" t="s">
        <v>5</v>
      </c>
      <c r="F282" s="22"/>
      <c r="G282" s="22"/>
      <c r="K282" s="24">
        <v>6.0</v>
      </c>
      <c r="L282" s="24">
        <v>1.0</v>
      </c>
      <c r="P282" s="26">
        <v>1.0</v>
      </c>
      <c r="Q282" s="26">
        <v>6.0</v>
      </c>
      <c r="U282" s="28">
        <v>0.0</v>
      </c>
      <c r="V282" s="28">
        <v>0.0</v>
      </c>
      <c r="Z282" s="31">
        <v>0.0</v>
      </c>
      <c r="AA282" s="31">
        <v>0.0</v>
      </c>
      <c r="AF282" s="13">
        <f t="shared" si="83"/>
        <v>0</v>
      </c>
      <c r="AG282" s="33">
        <f t="shared" si="84"/>
        <v>0</v>
      </c>
      <c r="AH282" s="33">
        <f t="shared" si="85"/>
        <v>0</v>
      </c>
      <c r="AI282" s="33">
        <v>6.0</v>
      </c>
      <c r="AJ282" s="33">
        <v>1.0</v>
      </c>
      <c r="AK282" s="33">
        <v>3.0</v>
      </c>
      <c r="AL282" s="33">
        <v>7.0</v>
      </c>
    </row>
    <row r="283">
      <c r="A283" s="39"/>
      <c r="AH283" s="39"/>
      <c r="AI283" s="39"/>
      <c r="AJ283" s="39"/>
      <c r="AK283" s="39"/>
      <c r="AL283" s="39"/>
    </row>
    <row r="284">
      <c r="A284" s="40" t="str">
        <f>IFERROR(__xludf.DUMMYFUNCTION("""Gameweek "" &amp; (VALUE(REGEXEXTRACT(A264, ""Gameweek (\d+)"")) + 1)"),"Gameweek 15")</f>
        <v>Gameweek 15</v>
      </c>
      <c r="F284" s="40"/>
      <c r="G284" s="40"/>
      <c r="H284" s="41" t="str">
        <f>A284</f>
        <v>Gameweek 15</v>
      </c>
      <c r="K284" s="15" t="s">
        <v>21</v>
      </c>
      <c r="L284" s="15" t="s">
        <v>22</v>
      </c>
      <c r="M284" s="42" t="str">
        <f>A284</f>
        <v>Gameweek 15</v>
      </c>
      <c r="P284" s="16" t="s">
        <v>21</v>
      </c>
      <c r="Q284" s="16" t="s">
        <v>22</v>
      </c>
      <c r="R284" s="43" t="str">
        <f>A284</f>
        <v>Gameweek 15</v>
      </c>
      <c r="U284" s="17" t="s">
        <v>21</v>
      </c>
      <c r="V284" s="17" t="s">
        <v>22</v>
      </c>
      <c r="W284" s="44" t="str">
        <f>A284</f>
        <v>Gameweek 15</v>
      </c>
      <c r="Z284" s="18" t="s">
        <v>21</v>
      </c>
      <c r="AA284" s="18" t="s">
        <v>22</v>
      </c>
      <c r="AB284" s="45" t="str">
        <f>A284</f>
        <v>Gameweek 15</v>
      </c>
      <c r="AF284" s="19" t="s">
        <v>21</v>
      </c>
      <c r="AG284" s="19" t="s">
        <v>22</v>
      </c>
      <c r="AH284" s="19" t="s">
        <v>17</v>
      </c>
      <c r="AI284" s="19" t="s">
        <v>23</v>
      </c>
    </row>
    <row r="285">
      <c r="A285" s="47" t="str">
        <f>IFERROR(__xludf.DUMMYFUNCTION("IFERROR(ARRAYFORMULA(FLATTEN(SPLIT(REPT(TEXTJOIN("","", TRUE, FILTER({H$2, M$2, R$2}, {H285, M285, R285} &lt;&gt; """")) &amp; "","", CEILING(18 / COUNTA(FILTER({H$2, M$2, R$2}, {H285, M285, R285} &lt;&gt; """")))), "",""))), """")
"),"Blå")</f>
        <v>Blå</v>
      </c>
      <c r="B285" s="8">
        <v>1.0</v>
      </c>
      <c r="C285" s="8" t="str">
        <f t="shared" ref="C285:C302" si="86">IF(ISBLANK(A285), "", "-")
</f>
        <v>-</v>
      </c>
      <c r="D285" s="8">
        <v>1.0</v>
      </c>
      <c r="E285" s="48" t="str">
        <f t="array" ref="E285:E302">{A302; A285:A301}</f>
        <v>Grön</v>
      </c>
      <c r="F285" s="22" t="str">
        <f t="shared" ref="F285:F301" si="87">IF(AND(B285 &lt;&gt; "", D285 &lt;&gt; ""), IF(B285 &gt; D285, A285, IF(D285 &gt; B285, E285, "Oavgjort")), "")</f>
        <v>Oavgjort</v>
      </c>
      <c r="G285" s="22" t="str">
        <f t="shared" ref="G285:G301" si="88">IF(AND(B285 &lt;&gt; "", D285 &lt;&gt; ""), IF(B285 &lt; D285, A285, IF(D285 &lt; B285, E285, "Oavgjort")), "")
</f>
        <v>Oavgjort</v>
      </c>
      <c r="H285" s="56" t="s">
        <v>27</v>
      </c>
      <c r="I285" s="9">
        <v>0.0</v>
      </c>
      <c r="J285" s="9">
        <v>0.0</v>
      </c>
      <c r="K285" s="24">
        <f t="array" ref="K285:K302">IF(SEQUENCE(18, 1), COUNTIF(F285:F302, $H$2))
</f>
        <v>0</v>
      </c>
      <c r="L285" s="24">
        <f t="array" ref="L285:L302">IF(SEQUENCE(18, 1), COUNTIF(G285:G302, $H$2))
</f>
        <v>7</v>
      </c>
      <c r="M285" s="57" t="s">
        <v>57</v>
      </c>
      <c r="N285" s="10">
        <v>4.0</v>
      </c>
      <c r="O285" s="10">
        <v>2.0</v>
      </c>
      <c r="P285" s="26">
        <f t="array" ref="P285:P302">IF(SEQUENCE(18, 1), COUNTIF(F285:F302, $M$2))
</f>
        <v>4</v>
      </c>
      <c r="Q285" s="26">
        <f t="array" ref="Q285:Q302">IF(SEQUENCE(18, 1), COUNTIF(G285:G302, $M$2))
</f>
        <v>3</v>
      </c>
      <c r="R285" s="55" t="s">
        <v>33</v>
      </c>
      <c r="S285" s="11">
        <v>0.0</v>
      </c>
      <c r="T285" s="11">
        <v>1.0</v>
      </c>
      <c r="U285" s="28">
        <f t="array" ref="U285:U302">IF(SEQUENCE(18, 1), COUNTIF(F285:F302, $R$2))
</f>
        <v>7</v>
      </c>
      <c r="V285" s="28">
        <f t="array" ref="V285:V302">IF(SEQUENCE(18, 1), COUNTIF(G285:G302, $R$2))
</f>
        <v>1</v>
      </c>
      <c r="W285" s="50"/>
      <c r="X285" s="30">
        <v>0.0</v>
      </c>
      <c r="Y285" s="30">
        <v>0.0</v>
      </c>
      <c r="Z285" s="31">
        <f t="array" ref="Z285:Z302">IF(SEQUENCE(18, 1), COUNTIF(F285:F302, $W$2))
</f>
        <v>0</v>
      </c>
      <c r="AA285" s="31">
        <f t="array" ref="AA285:AA302">IF(SEQUENCE(18, 1), COUNTIF(G285:G302, $W$2))
</f>
        <v>0</v>
      </c>
      <c r="AB285" s="32" t="s">
        <v>9</v>
      </c>
      <c r="AC285" s="32" t="s">
        <v>30</v>
      </c>
      <c r="AD285" s="13">
        <v>0.0</v>
      </c>
      <c r="AE285" s="13">
        <v>0.0</v>
      </c>
      <c r="AF285" s="13">
        <f t="shared" ref="AF285:AF302" si="89">IF(AB285 = "Borta", AJ285, (IF(AB285 = "Hemma", AI285, 0)))</f>
        <v>6</v>
      </c>
      <c r="AG285" s="33">
        <f t="shared" ref="AG285:AG302" si="90">IF(AB285 = "Hemma", AJ285, (IF(AB285 = "Borta", AI285, 0)))</f>
        <v>5</v>
      </c>
      <c r="AH285" s="33">
        <f t="shared" ref="AH285:AH302" si="91">IF(AB285 = "Borta", AK285, (IF(AB285 = "Hemma", AL285, 0)))</f>
        <v>5</v>
      </c>
      <c r="AI285" s="33">
        <f t="array" ref="AI285:AI302">IF(F285 &lt;&gt; "",
     SEQUENCE(18,1,1,0)*SUM(IF(A285:A302 = F285:F302, 1, 0)),
     SEQUENCE(18,1,0,0)
  )</f>
        <v>6</v>
      </c>
      <c r="AJ285" s="33">
        <f t="array" ref="AJ285:AJ302">IF(G285 &lt;&gt; "",
     SEQUENCE(18,1,1,0)*SUM(IF(E285:E302 = F285:F302, 1, 0)),
     SEQUENCE(18,1,0,0)
  )</f>
        <v>5</v>
      </c>
      <c r="AK285" s="33">
        <f t="array" ref="AK285:AK302">IF(SEQUENCE(18, 1), COUNTIF(B285:B302, 0))</f>
        <v>3</v>
      </c>
      <c r="AL285" s="33">
        <f t="array" ref="AL285:AL302">IF(SEQUENCE(18, 1), COUNTIF(D285:D302, 0))</f>
        <v>5</v>
      </c>
    </row>
    <row r="286">
      <c r="A286" s="20" t="str">
        <f>IFERROR(__xludf.DUMMYFUNCTION("""COMPUTED_VALUE"""),"Rosa")</f>
        <v>Rosa</v>
      </c>
      <c r="B286" s="8">
        <v>1.0</v>
      </c>
      <c r="C286" s="8" t="str">
        <f t="shared" si="86"/>
        <v>-</v>
      </c>
      <c r="D286" s="8">
        <v>0.0</v>
      </c>
      <c r="E286" s="21" t="s">
        <v>2</v>
      </c>
      <c r="F286" s="22" t="str">
        <f t="shared" si="87"/>
        <v>Rosa</v>
      </c>
      <c r="G286" s="22" t="str">
        <f t="shared" si="88"/>
        <v>Blå</v>
      </c>
      <c r="H286" s="56" t="s">
        <v>41</v>
      </c>
      <c r="I286" s="9">
        <v>1.0</v>
      </c>
      <c r="J286" s="9">
        <v>2.0</v>
      </c>
      <c r="K286" s="24">
        <v>0.0</v>
      </c>
      <c r="L286" s="24">
        <v>7.0</v>
      </c>
      <c r="M286" s="57" t="s">
        <v>60</v>
      </c>
      <c r="N286" s="10">
        <v>0.0</v>
      </c>
      <c r="O286" s="10">
        <v>2.0</v>
      </c>
      <c r="P286" s="26">
        <v>4.0</v>
      </c>
      <c r="Q286" s="26">
        <v>3.0</v>
      </c>
      <c r="R286" s="54" t="s">
        <v>66</v>
      </c>
      <c r="S286" s="11">
        <v>1.0</v>
      </c>
      <c r="T286" s="11">
        <v>3.0</v>
      </c>
      <c r="U286" s="28">
        <v>7.0</v>
      </c>
      <c r="V286" s="28">
        <v>1.0</v>
      </c>
      <c r="W286" s="50"/>
      <c r="X286" s="30">
        <v>0.0</v>
      </c>
      <c r="Y286" s="30">
        <v>0.0</v>
      </c>
      <c r="Z286" s="31">
        <v>0.0</v>
      </c>
      <c r="AA286" s="31">
        <v>0.0</v>
      </c>
      <c r="AB286" s="32" t="s">
        <v>11</v>
      </c>
      <c r="AC286" s="32" t="s">
        <v>42</v>
      </c>
      <c r="AD286" s="13">
        <v>0.0</v>
      </c>
      <c r="AE286" s="13">
        <v>0.0</v>
      </c>
      <c r="AF286" s="13">
        <f t="shared" si="89"/>
        <v>5</v>
      </c>
      <c r="AG286" s="33">
        <f t="shared" si="90"/>
        <v>6</v>
      </c>
      <c r="AH286" s="33">
        <f t="shared" si="91"/>
        <v>3</v>
      </c>
      <c r="AI286" s="33">
        <v>6.0</v>
      </c>
      <c r="AJ286" s="33">
        <v>5.0</v>
      </c>
      <c r="AK286" s="33">
        <v>3.0</v>
      </c>
      <c r="AL286" s="33">
        <v>5.0</v>
      </c>
    </row>
    <row r="287">
      <c r="A287" s="20" t="str">
        <f>IFERROR(__xludf.DUMMYFUNCTION("""COMPUTED_VALUE"""),"Grön")</f>
        <v>Grön</v>
      </c>
      <c r="B287" s="8">
        <v>2.0</v>
      </c>
      <c r="C287" s="8" t="str">
        <f t="shared" si="86"/>
        <v>-</v>
      </c>
      <c r="D287" s="8">
        <v>0.0</v>
      </c>
      <c r="E287" s="21" t="s">
        <v>5</v>
      </c>
      <c r="F287" s="22" t="str">
        <f t="shared" si="87"/>
        <v>Grön</v>
      </c>
      <c r="G287" s="22" t="str">
        <f t="shared" si="88"/>
        <v>Rosa</v>
      </c>
      <c r="H287" s="56" t="s">
        <v>58</v>
      </c>
      <c r="I287" s="9">
        <v>3.0</v>
      </c>
      <c r="J287" s="9">
        <v>1.0</v>
      </c>
      <c r="K287" s="24">
        <v>0.0</v>
      </c>
      <c r="L287" s="24">
        <v>7.0</v>
      </c>
      <c r="M287" s="57" t="s">
        <v>72</v>
      </c>
      <c r="N287" s="10">
        <v>3.0</v>
      </c>
      <c r="O287" s="10">
        <v>0.0</v>
      </c>
      <c r="P287" s="26">
        <v>4.0</v>
      </c>
      <c r="Q287" s="26">
        <v>3.0</v>
      </c>
      <c r="R287" s="54" t="s">
        <v>73</v>
      </c>
      <c r="S287" s="11">
        <v>5.0</v>
      </c>
      <c r="T287" s="11">
        <v>2.0</v>
      </c>
      <c r="U287" s="28">
        <v>7.0</v>
      </c>
      <c r="V287" s="28">
        <v>1.0</v>
      </c>
      <c r="W287" s="29"/>
      <c r="X287" s="30">
        <v>0.0</v>
      </c>
      <c r="Y287" s="30">
        <v>0.0</v>
      </c>
      <c r="Z287" s="31">
        <v>0.0</v>
      </c>
      <c r="AA287" s="31">
        <v>0.0</v>
      </c>
      <c r="AB287" s="34"/>
      <c r="AF287" s="13">
        <f t="shared" si="89"/>
        <v>0</v>
      </c>
      <c r="AG287" s="33">
        <f t="shared" si="90"/>
        <v>0</v>
      </c>
      <c r="AH287" s="33">
        <f t="shared" si="91"/>
        <v>0</v>
      </c>
      <c r="AI287" s="33">
        <v>6.0</v>
      </c>
      <c r="AJ287" s="33">
        <v>5.0</v>
      </c>
      <c r="AK287" s="33">
        <v>3.0</v>
      </c>
      <c r="AL287" s="33">
        <v>5.0</v>
      </c>
    </row>
    <row r="288">
      <c r="A288" s="20" t="str">
        <f>IFERROR(__xludf.DUMMYFUNCTION("""COMPUTED_VALUE"""),"Blå")</f>
        <v>Blå</v>
      </c>
      <c r="B288" s="8">
        <v>0.0</v>
      </c>
      <c r="C288" s="8" t="str">
        <f t="shared" si="86"/>
        <v>-</v>
      </c>
      <c r="D288" s="8">
        <v>1.0</v>
      </c>
      <c r="E288" s="21" t="s">
        <v>6</v>
      </c>
      <c r="F288" s="22" t="str">
        <f t="shared" si="87"/>
        <v>Grön</v>
      </c>
      <c r="G288" s="22" t="str">
        <f t="shared" si="88"/>
        <v>Blå</v>
      </c>
      <c r="H288" s="38" t="s">
        <v>70</v>
      </c>
      <c r="I288" s="9">
        <v>0.0</v>
      </c>
      <c r="J288" s="9">
        <v>0.0</v>
      </c>
      <c r="K288" s="24">
        <v>0.0</v>
      </c>
      <c r="L288" s="24">
        <v>7.0</v>
      </c>
      <c r="M288" s="57" t="s">
        <v>35</v>
      </c>
      <c r="N288" s="10">
        <v>0.0</v>
      </c>
      <c r="O288" s="10">
        <v>1.0</v>
      </c>
      <c r="P288" s="26">
        <v>4.0</v>
      </c>
      <c r="Q288" s="26">
        <v>3.0</v>
      </c>
      <c r="R288" s="55" t="s">
        <v>32</v>
      </c>
      <c r="S288" s="11">
        <v>6.0</v>
      </c>
      <c r="T288" s="11">
        <v>6.0</v>
      </c>
      <c r="U288" s="28">
        <v>7.0</v>
      </c>
      <c r="V288" s="28">
        <v>1.0</v>
      </c>
      <c r="W288" s="29"/>
      <c r="X288" s="30">
        <v>0.0</v>
      </c>
      <c r="Y288" s="30">
        <v>0.0</v>
      </c>
      <c r="Z288" s="31">
        <v>0.0</v>
      </c>
      <c r="AA288" s="31">
        <v>0.0</v>
      </c>
      <c r="AF288" s="13">
        <f t="shared" si="89"/>
        <v>0</v>
      </c>
      <c r="AG288" s="33">
        <f t="shared" si="90"/>
        <v>0</v>
      </c>
      <c r="AH288" s="33">
        <f t="shared" si="91"/>
        <v>0</v>
      </c>
      <c r="AI288" s="33">
        <v>6.0</v>
      </c>
      <c r="AJ288" s="33">
        <v>5.0</v>
      </c>
      <c r="AK288" s="33">
        <v>3.0</v>
      </c>
      <c r="AL288" s="33">
        <v>5.0</v>
      </c>
    </row>
    <row r="289">
      <c r="A289" s="20" t="str">
        <f>IFERROR(__xludf.DUMMYFUNCTION("""COMPUTED_VALUE"""),"Rosa")</f>
        <v>Rosa</v>
      </c>
      <c r="B289" s="8">
        <v>4.0</v>
      </c>
      <c r="C289" s="8" t="str">
        <f t="shared" si="86"/>
        <v>-</v>
      </c>
      <c r="D289" s="8">
        <v>1.0</v>
      </c>
      <c r="E289" s="21" t="s">
        <v>2</v>
      </c>
      <c r="F289" s="22" t="str">
        <f t="shared" si="87"/>
        <v>Rosa</v>
      </c>
      <c r="G289" s="22" t="str">
        <f t="shared" si="88"/>
        <v>Blå</v>
      </c>
      <c r="H289" s="38" t="s">
        <v>71</v>
      </c>
      <c r="I289" s="9">
        <v>1.0</v>
      </c>
      <c r="J289" s="9">
        <v>2.0</v>
      </c>
      <c r="K289" s="24">
        <v>0.0</v>
      </c>
      <c r="L289" s="24">
        <v>7.0</v>
      </c>
      <c r="M289" s="35" t="s">
        <v>34</v>
      </c>
      <c r="N289" s="10">
        <v>1.0</v>
      </c>
      <c r="O289" s="10">
        <v>2.0</v>
      </c>
      <c r="P289" s="26">
        <v>4.0</v>
      </c>
      <c r="Q289" s="26">
        <v>3.0</v>
      </c>
      <c r="R289" s="36" t="s">
        <v>24</v>
      </c>
      <c r="S289" s="11">
        <v>0.0</v>
      </c>
      <c r="T289" s="11">
        <v>5.0</v>
      </c>
      <c r="U289" s="28">
        <v>7.0</v>
      </c>
      <c r="V289" s="28">
        <v>1.0</v>
      </c>
      <c r="W289" s="29"/>
      <c r="X289" s="30">
        <v>0.0</v>
      </c>
      <c r="Y289" s="30">
        <v>0.0</v>
      </c>
      <c r="Z289" s="31">
        <v>0.0</v>
      </c>
      <c r="AA289" s="31">
        <v>0.0</v>
      </c>
      <c r="AF289" s="13">
        <f t="shared" si="89"/>
        <v>0</v>
      </c>
      <c r="AG289" s="33">
        <f t="shared" si="90"/>
        <v>0</v>
      </c>
      <c r="AH289" s="33">
        <f t="shared" si="91"/>
        <v>0</v>
      </c>
      <c r="AI289" s="33">
        <v>6.0</v>
      </c>
      <c r="AJ289" s="33">
        <v>5.0</v>
      </c>
      <c r="AK289" s="33">
        <v>3.0</v>
      </c>
      <c r="AL289" s="33">
        <v>5.0</v>
      </c>
    </row>
    <row r="290">
      <c r="A290" s="20" t="str">
        <f>IFERROR(__xludf.DUMMYFUNCTION("""COMPUTED_VALUE"""),"Grön")</f>
        <v>Grön</v>
      </c>
      <c r="B290" s="8">
        <v>0.0</v>
      </c>
      <c r="C290" s="8" t="str">
        <f t="shared" si="86"/>
        <v>-</v>
      </c>
      <c r="D290" s="8">
        <v>1.0</v>
      </c>
      <c r="E290" s="21" t="s">
        <v>5</v>
      </c>
      <c r="F290" s="22" t="str">
        <f t="shared" si="87"/>
        <v>Rosa</v>
      </c>
      <c r="G290" s="22" t="str">
        <f t="shared" si="88"/>
        <v>Grön</v>
      </c>
      <c r="H290" s="38"/>
      <c r="I290" s="9">
        <v>0.0</v>
      </c>
      <c r="J290" s="9">
        <v>0.0</v>
      </c>
      <c r="K290" s="24">
        <v>0.0</v>
      </c>
      <c r="L290" s="24">
        <v>7.0</v>
      </c>
      <c r="M290" s="35"/>
      <c r="N290" s="10">
        <v>0.0</v>
      </c>
      <c r="O290" s="10">
        <v>0.0</v>
      </c>
      <c r="P290" s="26">
        <v>4.0</v>
      </c>
      <c r="Q290" s="26">
        <v>3.0</v>
      </c>
      <c r="R290" s="27" t="s">
        <v>36</v>
      </c>
      <c r="S290" s="11">
        <v>6.0</v>
      </c>
      <c r="T290" s="11">
        <v>3.0</v>
      </c>
      <c r="U290" s="28">
        <v>7.0</v>
      </c>
      <c r="V290" s="28">
        <v>1.0</v>
      </c>
      <c r="W290" s="29"/>
      <c r="X290" s="30">
        <v>0.0</v>
      </c>
      <c r="Y290" s="30">
        <v>0.0</v>
      </c>
      <c r="Z290" s="31">
        <v>0.0</v>
      </c>
      <c r="AA290" s="31">
        <v>0.0</v>
      </c>
      <c r="AF290" s="13">
        <f t="shared" si="89"/>
        <v>0</v>
      </c>
      <c r="AG290" s="33">
        <f t="shared" si="90"/>
        <v>0</v>
      </c>
      <c r="AH290" s="33">
        <f t="shared" si="91"/>
        <v>0</v>
      </c>
      <c r="AI290" s="33">
        <v>6.0</v>
      </c>
      <c r="AJ290" s="33">
        <v>5.0</v>
      </c>
      <c r="AK290" s="33">
        <v>3.0</v>
      </c>
      <c r="AL290" s="33">
        <v>5.0</v>
      </c>
    </row>
    <row r="291">
      <c r="A291" s="20" t="str">
        <f>IFERROR(__xludf.DUMMYFUNCTION("""COMPUTED_VALUE"""),"Blå")</f>
        <v>Blå</v>
      </c>
      <c r="B291" s="8">
        <v>0.0</v>
      </c>
      <c r="C291" s="8" t="str">
        <f t="shared" si="86"/>
        <v>-</v>
      </c>
      <c r="D291" s="8">
        <v>4.0</v>
      </c>
      <c r="E291" s="21" t="s">
        <v>6</v>
      </c>
      <c r="F291" s="22" t="str">
        <f t="shared" si="87"/>
        <v>Grön</v>
      </c>
      <c r="G291" s="22" t="str">
        <f t="shared" si="88"/>
        <v>Blå</v>
      </c>
      <c r="H291" s="23"/>
      <c r="I291" s="9">
        <v>0.0</v>
      </c>
      <c r="J291" s="9">
        <v>0.0</v>
      </c>
      <c r="K291" s="24">
        <v>0.0</v>
      </c>
      <c r="L291" s="24">
        <v>7.0</v>
      </c>
      <c r="M291" s="35"/>
      <c r="N291" s="10">
        <v>0.0</v>
      </c>
      <c r="O291" s="10">
        <v>0.0</v>
      </c>
      <c r="P291" s="26">
        <v>4.0</v>
      </c>
      <c r="Q291" s="26">
        <v>3.0</v>
      </c>
      <c r="R291" s="36"/>
      <c r="S291" s="11">
        <v>0.0</v>
      </c>
      <c r="T291" s="11">
        <v>0.0</v>
      </c>
      <c r="U291" s="28">
        <v>7.0</v>
      </c>
      <c r="V291" s="28">
        <v>1.0</v>
      </c>
      <c r="W291" s="29"/>
      <c r="X291" s="30">
        <v>0.0</v>
      </c>
      <c r="Y291" s="30">
        <v>0.0</v>
      </c>
      <c r="Z291" s="31">
        <v>0.0</v>
      </c>
      <c r="AA291" s="31">
        <v>0.0</v>
      </c>
      <c r="AF291" s="13">
        <f t="shared" si="89"/>
        <v>0</v>
      </c>
      <c r="AG291" s="33">
        <f t="shared" si="90"/>
        <v>0</v>
      </c>
      <c r="AH291" s="33">
        <f t="shared" si="91"/>
        <v>0</v>
      </c>
      <c r="AI291" s="33">
        <v>6.0</v>
      </c>
      <c r="AJ291" s="33">
        <v>5.0</v>
      </c>
      <c r="AK291" s="33">
        <v>3.0</v>
      </c>
      <c r="AL291" s="33">
        <v>5.0</v>
      </c>
    </row>
    <row r="292">
      <c r="A292" s="20" t="str">
        <f>IFERROR(__xludf.DUMMYFUNCTION("""COMPUTED_VALUE"""),"Rosa")</f>
        <v>Rosa</v>
      </c>
      <c r="B292" s="8">
        <v>1.0</v>
      </c>
      <c r="C292" s="8" t="str">
        <f t="shared" si="86"/>
        <v>-</v>
      </c>
      <c r="D292" s="8">
        <v>1.0</v>
      </c>
      <c r="E292" s="21" t="s">
        <v>2</v>
      </c>
      <c r="F292" s="22" t="str">
        <f t="shared" si="87"/>
        <v>Oavgjort</v>
      </c>
      <c r="G292" s="22" t="str">
        <f t="shared" si="88"/>
        <v>Oavgjort</v>
      </c>
      <c r="H292" s="38"/>
      <c r="K292" s="24">
        <v>0.0</v>
      </c>
      <c r="L292" s="24">
        <v>7.0</v>
      </c>
      <c r="M292" s="35"/>
      <c r="P292" s="26">
        <v>4.0</v>
      </c>
      <c r="Q292" s="26">
        <v>3.0</v>
      </c>
      <c r="R292" s="36"/>
      <c r="U292" s="28">
        <v>7.0</v>
      </c>
      <c r="V292" s="28">
        <v>1.0</v>
      </c>
      <c r="W292" s="37"/>
      <c r="Z292" s="31">
        <v>0.0</v>
      </c>
      <c r="AA292" s="31">
        <v>0.0</v>
      </c>
      <c r="AF292" s="13">
        <f t="shared" si="89"/>
        <v>0</v>
      </c>
      <c r="AG292" s="33">
        <f t="shared" si="90"/>
        <v>0</v>
      </c>
      <c r="AH292" s="33">
        <f t="shared" si="91"/>
        <v>0</v>
      </c>
      <c r="AI292" s="33">
        <v>6.0</v>
      </c>
      <c r="AJ292" s="33">
        <v>5.0</v>
      </c>
      <c r="AK292" s="33">
        <v>3.0</v>
      </c>
      <c r="AL292" s="33">
        <v>5.0</v>
      </c>
    </row>
    <row r="293">
      <c r="A293" s="20" t="str">
        <f>IFERROR(__xludf.DUMMYFUNCTION("""COMPUTED_VALUE"""),"Grön")</f>
        <v>Grön</v>
      </c>
      <c r="B293" s="8">
        <v>1.0</v>
      </c>
      <c r="C293" s="8" t="str">
        <f t="shared" si="86"/>
        <v>-</v>
      </c>
      <c r="D293" s="8">
        <v>0.0</v>
      </c>
      <c r="E293" s="21" t="s">
        <v>5</v>
      </c>
      <c r="F293" s="22" t="str">
        <f t="shared" si="87"/>
        <v>Grön</v>
      </c>
      <c r="G293" s="22" t="str">
        <f t="shared" si="88"/>
        <v>Rosa</v>
      </c>
      <c r="K293" s="24">
        <v>0.0</v>
      </c>
      <c r="L293" s="24">
        <v>7.0</v>
      </c>
      <c r="P293" s="26">
        <v>4.0</v>
      </c>
      <c r="Q293" s="26">
        <v>3.0</v>
      </c>
      <c r="U293" s="28">
        <v>7.0</v>
      </c>
      <c r="V293" s="28">
        <v>1.0</v>
      </c>
      <c r="Z293" s="31">
        <v>0.0</v>
      </c>
      <c r="AA293" s="31">
        <v>0.0</v>
      </c>
      <c r="AF293" s="13">
        <f t="shared" si="89"/>
        <v>0</v>
      </c>
      <c r="AG293" s="33">
        <f t="shared" si="90"/>
        <v>0</v>
      </c>
      <c r="AH293" s="33">
        <f t="shared" si="91"/>
        <v>0</v>
      </c>
      <c r="AI293" s="33">
        <v>6.0</v>
      </c>
      <c r="AJ293" s="33">
        <v>5.0</v>
      </c>
      <c r="AK293" s="33">
        <v>3.0</v>
      </c>
      <c r="AL293" s="33">
        <v>5.0</v>
      </c>
    </row>
    <row r="294">
      <c r="A294" s="20" t="str">
        <f>IFERROR(__xludf.DUMMYFUNCTION("""COMPUTED_VALUE"""),"Blå")</f>
        <v>Blå</v>
      </c>
      <c r="B294" s="8">
        <v>1.0</v>
      </c>
      <c r="C294" s="8" t="str">
        <f t="shared" si="86"/>
        <v>-</v>
      </c>
      <c r="D294" s="8">
        <v>3.0</v>
      </c>
      <c r="E294" s="21" t="s">
        <v>6</v>
      </c>
      <c r="F294" s="22" t="str">
        <f t="shared" si="87"/>
        <v>Grön</v>
      </c>
      <c r="G294" s="22" t="str">
        <f t="shared" si="88"/>
        <v>Blå</v>
      </c>
      <c r="K294" s="24">
        <v>0.0</v>
      </c>
      <c r="L294" s="24">
        <v>7.0</v>
      </c>
      <c r="P294" s="26">
        <v>4.0</v>
      </c>
      <c r="Q294" s="26">
        <v>3.0</v>
      </c>
      <c r="U294" s="28">
        <v>7.0</v>
      </c>
      <c r="V294" s="28">
        <v>1.0</v>
      </c>
      <c r="Z294" s="31">
        <v>0.0</v>
      </c>
      <c r="AA294" s="31">
        <v>0.0</v>
      </c>
      <c r="AF294" s="13">
        <f t="shared" si="89"/>
        <v>0</v>
      </c>
      <c r="AG294" s="33">
        <f t="shared" si="90"/>
        <v>0</v>
      </c>
      <c r="AH294" s="33">
        <f t="shared" si="91"/>
        <v>0</v>
      </c>
      <c r="AI294" s="33">
        <v>6.0</v>
      </c>
      <c r="AJ294" s="33">
        <v>5.0</v>
      </c>
      <c r="AK294" s="33">
        <v>3.0</v>
      </c>
      <c r="AL294" s="33">
        <v>5.0</v>
      </c>
    </row>
    <row r="295">
      <c r="A295" s="20" t="str">
        <f>IFERROR(__xludf.DUMMYFUNCTION("""COMPUTED_VALUE"""),"Rosa")</f>
        <v>Rosa</v>
      </c>
      <c r="B295" s="8">
        <v>1.0</v>
      </c>
      <c r="C295" s="8" t="str">
        <f t="shared" si="86"/>
        <v>-</v>
      </c>
      <c r="D295" s="8">
        <v>0.0</v>
      </c>
      <c r="E295" s="21" t="s">
        <v>2</v>
      </c>
      <c r="F295" s="22" t="str">
        <f t="shared" si="87"/>
        <v>Rosa</v>
      </c>
      <c r="G295" s="22" t="str">
        <f t="shared" si="88"/>
        <v>Blå</v>
      </c>
      <c r="K295" s="24">
        <v>0.0</v>
      </c>
      <c r="L295" s="24">
        <v>7.0</v>
      </c>
      <c r="P295" s="26">
        <v>4.0</v>
      </c>
      <c r="Q295" s="26">
        <v>3.0</v>
      </c>
      <c r="U295" s="28">
        <v>7.0</v>
      </c>
      <c r="V295" s="28">
        <v>1.0</v>
      </c>
      <c r="Z295" s="31">
        <v>0.0</v>
      </c>
      <c r="AA295" s="31">
        <v>0.0</v>
      </c>
      <c r="AF295" s="13">
        <f t="shared" si="89"/>
        <v>0</v>
      </c>
      <c r="AG295" s="33">
        <f t="shared" si="90"/>
        <v>0</v>
      </c>
      <c r="AH295" s="33">
        <f t="shared" si="91"/>
        <v>0</v>
      </c>
      <c r="AI295" s="33">
        <v>6.0</v>
      </c>
      <c r="AJ295" s="33">
        <v>5.0</v>
      </c>
      <c r="AK295" s="33">
        <v>3.0</v>
      </c>
      <c r="AL295" s="33">
        <v>5.0</v>
      </c>
    </row>
    <row r="296">
      <c r="A296" s="20" t="str">
        <f>IFERROR(__xludf.DUMMYFUNCTION("""COMPUTED_VALUE"""),"Grön")</f>
        <v>Grön</v>
      </c>
      <c r="B296" s="8">
        <v>4.0</v>
      </c>
      <c r="C296" s="8" t="str">
        <f t="shared" si="86"/>
        <v>-</v>
      </c>
      <c r="D296" s="8">
        <v>0.0</v>
      </c>
      <c r="E296" s="21" t="s">
        <v>5</v>
      </c>
      <c r="F296" s="22" t="str">
        <f t="shared" si="87"/>
        <v>Grön</v>
      </c>
      <c r="G296" s="22" t="str">
        <f t="shared" si="88"/>
        <v>Rosa</v>
      </c>
      <c r="K296" s="24">
        <v>0.0</v>
      </c>
      <c r="L296" s="24">
        <v>7.0</v>
      </c>
      <c r="P296" s="26">
        <v>4.0</v>
      </c>
      <c r="Q296" s="26">
        <v>3.0</v>
      </c>
      <c r="U296" s="28">
        <v>7.0</v>
      </c>
      <c r="V296" s="28">
        <v>1.0</v>
      </c>
      <c r="Z296" s="31">
        <v>0.0</v>
      </c>
      <c r="AA296" s="31">
        <v>0.0</v>
      </c>
      <c r="AF296" s="13">
        <f t="shared" si="89"/>
        <v>0</v>
      </c>
      <c r="AG296" s="33">
        <f t="shared" si="90"/>
        <v>0</v>
      </c>
      <c r="AH296" s="33">
        <f t="shared" si="91"/>
        <v>0</v>
      </c>
      <c r="AI296" s="33">
        <v>6.0</v>
      </c>
      <c r="AJ296" s="33">
        <v>5.0</v>
      </c>
      <c r="AK296" s="33">
        <v>3.0</v>
      </c>
      <c r="AL296" s="33">
        <v>5.0</v>
      </c>
    </row>
    <row r="297">
      <c r="A297" s="20" t="str">
        <f>IFERROR(__xludf.DUMMYFUNCTION("""COMPUTED_VALUE"""),"Blå")</f>
        <v>Blå</v>
      </c>
      <c r="B297" s="8">
        <v>1.0</v>
      </c>
      <c r="C297" s="8" t="str">
        <f t="shared" si="86"/>
        <v>-</v>
      </c>
      <c r="D297" s="8">
        <v>2.0</v>
      </c>
      <c r="E297" s="21" t="s">
        <v>6</v>
      </c>
      <c r="F297" s="22" t="str">
        <f t="shared" si="87"/>
        <v>Grön</v>
      </c>
      <c r="G297" s="22" t="str">
        <f t="shared" si="88"/>
        <v>Blå</v>
      </c>
      <c r="K297" s="24">
        <v>0.0</v>
      </c>
      <c r="L297" s="24">
        <v>7.0</v>
      </c>
      <c r="P297" s="26">
        <v>4.0</v>
      </c>
      <c r="Q297" s="26">
        <v>3.0</v>
      </c>
      <c r="U297" s="28">
        <v>7.0</v>
      </c>
      <c r="V297" s="28">
        <v>1.0</v>
      </c>
      <c r="Z297" s="31">
        <v>0.0</v>
      </c>
      <c r="AA297" s="31">
        <v>0.0</v>
      </c>
      <c r="AF297" s="13">
        <f t="shared" si="89"/>
        <v>0</v>
      </c>
      <c r="AG297" s="33">
        <f t="shared" si="90"/>
        <v>0</v>
      </c>
      <c r="AH297" s="33">
        <f t="shared" si="91"/>
        <v>0</v>
      </c>
      <c r="AI297" s="33">
        <v>6.0</v>
      </c>
      <c r="AJ297" s="33">
        <v>5.0</v>
      </c>
      <c r="AK297" s="33">
        <v>3.0</v>
      </c>
      <c r="AL297" s="33">
        <v>5.0</v>
      </c>
    </row>
    <row r="298">
      <c r="A298" s="20" t="str">
        <f>IFERROR(__xludf.DUMMYFUNCTION("""COMPUTED_VALUE"""),"Rosa")</f>
        <v>Rosa</v>
      </c>
      <c r="B298" s="8"/>
      <c r="C298" s="8" t="str">
        <f t="shared" si="86"/>
        <v>-</v>
      </c>
      <c r="D298" s="8"/>
      <c r="E298" s="21" t="s">
        <v>2</v>
      </c>
      <c r="F298" s="22" t="str">
        <f t="shared" si="87"/>
        <v/>
      </c>
      <c r="G298" s="22" t="str">
        <f t="shared" si="88"/>
        <v/>
      </c>
      <c r="K298" s="24">
        <v>0.0</v>
      </c>
      <c r="L298" s="24">
        <v>7.0</v>
      </c>
      <c r="P298" s="26">
        <v>4.0</v>
      </c>
      <c r="Q298" s="26">
        <v>3.0</v>
      </c>
      <c r="U298" s="28">
        <v>7.0</v>
      </c>
      <c r="V298" s="28">
        <v>1.0</v>
      </c>
      <c r="Z298" s="31">
        <v>0.0</v>
      </c>
      <c r="AA298" s="31">
        <v>0.0</v>
      </c>
      <c r="AF298" s="13">
        <f t="shared" si="89"/>
        <v>0</v>
      </c>
      <c r="AG298" s="33">
        <f t="shared" si="90"/>
        <v>0</v>
      </c>
      <c r="AH298" s="33">
        <f t="shared" si="91"/>
        <v>0</v>
      </c>
      <c r="AI298" s="33">
        <v>6.0</v>
      </c>
      <c r="AJ298" s="33">
        <v>5.0</v>
      </c>
      <c r="AK298" s="33">
        <v>3.0</v>
      </c>
      <c r="AL298" s="33">
        <v>5.0</v>
      </c>
    </row>
    <row r="299">
      <c r="A299" s="20" t="str">
        <f>IFERROR(__xludf.DUMMYFUNCTION("""COMPUTED_VALUE"""),"Grön")</f>
        <v>Grön</v>
      </c>
      <c r="B299" s="8"/>
      <c r="C299" s="8" t="str">
        <f t="shared" si="86"/>
        <v>-</v>
      </c>
      <c r="D299" s="8"/>
      <c r="E299" s="21" t="s">
        <v>5</v>
      </c>
      <c r="F299" s="22" t="str">
        <f t="shared" si="87"/>
        <v/>
      </c>
      <c r="G299" s="22" t="str">
        <f t="shared" si="88"/>
        <v/>
      </c>
      <c r="K299" s="24">
        <v>0.0</v>
      </c>
      <c r="L299" s="24">
        <v>7.0</v>
      </c>
      <c r="P299" s="26">
        <v>4.0</v>
      </c>
      <c r="Q299" s="26">
        <v>3.0</v>
      </c>
      <c r="U299" s="28">
        <v>7.0</v>
      </c>
      <c r="V299" s="28">
        <v>1.0</v>
      </c>
      <c r="Z299" s="31">
        <v>0.0</v>
      </c>
      <c r="AA299" s="31">
        <v>0.0</v>
      </c>
      <c r="AF299" s="13">
        <f t="shared" si="89"/>
        <v>0</v>
      </c>
      <c r="AG299" s="33">
        <f t="shared" si="90"/>
        <v>0</v>
      </c>
      <c r="AH299" s="33">
        <f t="shared" si="91"/>
        <v>0</v>
      </c>
      <c r="AI299" s="33">
        <v>6.0</v>
      </c>
      <c r="AJ299" s="33">
        <v>5.0</v>
      </c>
      <c r="AK299" s="33">
        <v>3.0</v>
      </c>
      <c r="AL299" s="33">
        <v>5.0</v>
      </c>
    </row>
    <row r="300">
      <c r="A300" s="20" t="str">
        <f>IFERROR(__xludf.DUMMYFUNCTION("""COMPUTED_VALUE"""),"Blå")</f>
        <v>Blå</v>
      </c>
      <c r="B300" s="8"/>
      <c r="C300" s="8" t="str">
        <f t="shared" si="86"/>
        <v>-</v>
      </c>
      <c r="D300" s="22"/>
      <c r="E300" s="21" t="s">
        <v>6</v>
      </c>
      <c r="F300" s="22" t="str">
        <f t="shared" si="87"/>
        <v/>
      </c>
      <c r="G300" s="22" t="str">
        <f t="shared" si="88"/>
        <v/>
      </c>
      <c r="K300" s="24">
        <v>0.0</v>
      </c>
      <c r="L300" s="24">
        <v>7.0</v>
      </c>
      <c r="P300" s="26">
        <v>4.0</v>
      </c>
      <c r="Q300" s="26">
        <v>3.0</v>
      </c>
      <c r="U300" s="28">
        <v>7.0</v>
      </c>
      <c r="V300" s="28">
        <v>1.0</v>
      </c>
      <c r="Z300" s="31">
        <v>0.0</v>
      </c>
      <c r="AA300" s="31">
        <v>0.0</v>
      </c>
      <c r="AF300" s="13">
        <f t="shared" si="89"/>
        <v>0</v>
      </c>
      <c r="AG300" s="33">
        <f t="shared" si="90"/>
        <v>0</v>
      </c>
      <c r="AH300" s="33">
        <f t="shared" si="91"/>
        <v>0</v>
      </c>
      <c r="AI300" s="33">
        <v>6.0</v>
      </c>
      <c r="AJ300" s="33">
        <v>5.0</v>
      </c>
      <c r="AK300" s="33">
        <v>3.0</v>
      </c>
      <c r="AL300" s="33">
        <v>5.0</v>
      </c>
    </row>
    <row r="301">
      <c r="A301" s="39" t="str">
        <f>IFERROR(__xludf.DUMMYFUNCTION("""COMPUTED_VALUE"""),"Rosa")</f>
        <v>Rosa</v>
      </c>
      <c r="B301" s="8"/>
      <c r="C301" s="8" t="str">
        <f t="shared" si="86"/>
        <v>-</v>
      </c>
      <c r="D301" s="8"/>
      <c r="E301" s="46" t="s">
        <v>2</v>
      </c>
      <c r="F301" s="22" t="str">
        <f t="shared" si="87"/>
        <v/>
      </c>
      <c r="G301" s="22" t="str">
        <f t="shared" si="88"/>
        <v/>
      </c>
      <c r="K301" s="24">
        <v>0.0</v>
      </c>
      <c r="L301" s="24">
        <v>7.0</v>
      </c>
      <c r="P301" s="26">
        <v>4.0</v>
      </c>
      <c r="Q301" s="26">
        <v>3.0</v>
      </c>
      <c r="U301" s="28">
        <v>7.0</v>
      </c>
      <c r="V301" s="28">
        <v>1.0</v>
      </c>
      <c r="Z301" s="31">
        <v>0.0</v>
      </c>
      <c r="AA301" s="31">
        <v>0.0</v>
      </c>
      <c r="AF301" s="13">
        <f t="shared" si="89"/>
        <v>0</v>
      </c>
      <c r="AG301" s="33">
        <f t="shared" si="90"/>
        <v>0</v>
      </c>
      <c r="AH301" s="33">
        <f t="shared" si="91"/>
        <v>0</v>
      </c>
      <c r="AI301" s="33">
        <v>6.0</v>
      </c>
      <c r="AJ301" s="33">
        <v>5.0</v>
      </c>
      <c r="AK301" s="33">
        <v>3.0</v>
      </c>
      <c r="AL301" s="33">
        <v>5.0</v>
      </c>
    </row>
    <row r="302">
      <c r="A302" s="39" t="str">
        <f>IFERROR(__xludf.DUMMYFUNCTION("""COMPUTED_VALUE"""),"Grön")</f>
        <v>Grön</v>
      </c>
      <c r="B302" s="22"/>
      <c r="C302" s="8" t="str">
        <f t="shared" si="86"/>
        <v>-</v>
      </c>
      <c r="D302" s="22"/>
      <c r="E302" s="46" t="s">
        <v>5</v>
      </c>
      <c r="F302" s="22"/>
      <c r="G302" s="22"/>
      <c r="K302" s="24">
        <v>0.0</v>
      </c>
      <c r="L302" s="24">
        <v>7.0</v>
      </c>
      <c r="P302" s="26">
        <v>4.0</v>
      </c>
      <c r="Q302" s="26">
        <v>3.0</v>
      </c>
      <c r="U302" s="28">
        <v>7.0</v>
      </c>
      <c r="V302" s="28">
        <v>1.0</v>
      </c>
      <c r="Z302" s="31">
        <v>0.0</v>
      </c>
      <c r="AA302" s="31">
        <v>0.0</v>
      </c>
      <c r="AF302" s="13">
        <f t="shared" si="89"/>
        <v>0</v>
      </c>
      <c r="AG302" s="33">
        <f t="shared" si="90"/>
        <v>0</v>
      </c>
      <c r="AH302" s="33">
        <f t="shared" si="91"/>
        <v>0</v>
      </c>
      <c r="AI302" s="33">
        <v>6.0</v>
      </c>
      <c r="AJ302" s="33">
        <v>5.0</v>
      </c>
      <c r="AK302" s="33">
        <v>3.0</v>
      </c>
      <c r="AL302" s="33">
        <v>5.0</v>
      </c>
    </row>
    <row r="303">
      <c r="A303" s="39"/>
      <c r="AH303" s="39"/>
      <c r="AI303" s="39"/>
      <c r="AJ303" s="39"/>
      <c r="AK303" s="39"/>
      <c r="AL303" s="39"/>
    </row>
    <row r="304">
      <c r="A304" s="40" t="str">
        <f>IFERROR(__xludf.DUMMYFUNCTION("""Gameweek "" &amp; (VALUE(REGEXEXTRACT(A284, ""Gameweek (\d+)"")) + 1)"),"Gameweek 16")</f>
        <v>Gameweek 16</v>
      </c>
      <c r="F304" s="40"/>
      <c r="G304" s="40"/>
      <c r="H304" s="41" t="str">
        <f>A304</f>
        <v>Gameweek 16</v>
      </c>
      <c r="K304" s="15" t="s">
        <v>21</v>
      </c>
      <c r="L304" s="15" t="s">
        <v>22</v>
      </c>
      <c r="M304" s="42" t="str">
        <f>A304</f>
        <v>Gameweek 16</v>
      </c>
      <c r="P304" s="16" t="s">
        <v>21</v>
      </c>
      <c r="Q304" s="16" t="s">
        <v>22</v>
      </c>
      <c r="R304" s="43" t="str">
        <f>A304</f>
        <v>Gameweek 16</v>
      </c>
      <c r="U304" s="17" t="s">
        <v>21</v>
      </c>
      <c r="V304" s="17" t="s">
        <v>22</v>
      </c>
      <c r="W304" s="44" t="str">
        <f>A304</f>
        <v>Gameweek 16</v>
      </c>
      <c r="Z304" s="18" t="s">
        <v>21</v>
      </c>
      <c r="AA304" s="18" t="s">
        <v>22</v>
      </c>
      <c r="AB304" s="45" t="str">
        <f>A304</f>
        <v>Gameweek 16</v>
      </c>
      <c r="AF304" s="19" t="s">
        <v>21</v>
      </c>
      <c r="AG304" s="19" t="s">
        <v>22</v>
      </c>
      <c r="AH304" s="19" t="s">
        <v>17</v>
      </c>
      <c r="AI304" s="19" t="s">
        <v>23</v>
      </c>
    </row>
    <row r="305">
      <c r="A305" s="47" t="str">
        <f>IFERROR(__xludf.DUMMYFUNCTION("IFERROR(ARRAYFORMULA(FLATTEN(SPLIT(REPT(TEXTJOIN("","", TRUE, FILTER({H$2, M$2, R$2}, {H305, M305, R305} &lt;&gt; """")) &amp; "","", CEILING(18 / COUNTA(FILTER({H$2, M$2, R$2}, {H305, M305, R305} &lt;&gt; """")))), "",""))), """")
"),"Blå")</f>
        <v>Blå</v>
      </c>
      <c r="B305" s="8">
        <v>1.0</v>
      </c>
      <c r="C305" s="8" t="str">
        <f t="shared" ref="C305:C322" si="92">IF(ISBLANK(A305), "", "-")
</f>
        <v>-</v>
      </c>
      <c r="D305" s="8">
        <v>1.0</v>
      </c>
      <c r="E305" s="48" t="str">
        <f t="array" ref="E305:E322">{A322; A305:A321}</f>
        <v>Grön</v>
      </c>
      <c r="F305" s="22" t="str">
        <f t="shared" ref="F305:F321" si="93">IF(AND(B305 &lt;&gt; "", D305 &lt;&gt; ""), IF(B305 &gt; D305, A305, IF(D305 &gt; B305, E305, "Oavgjort")), "")</f>
        <v>Oavgjort</v>
      </c>
      <c r="G305" s="22" t="str">
        <f t="shared" ref="G305:G321" si="94">IF(AND(B305 &lt;&gt; "", D305 &lt;&gt; ""), IF(B305 &lt; D305, A305, IF(D305 &lt; B305, E305, "Oavgjort")), "")
</f>
        <v>Oavgjort</v>
      </c>
      <c r="H305" s="52" t="s">
        <v>28</v>
      </c>
      <c r="I305" s="9">
        <v>1.0</v>
      </c>
      <c r="J305" s="9">
        <v>0.0</v>
      </c>
      <c r="K305" s="24">
        <f t="array" ref="K305:K322">IF(SEQUENCE(18, 1), COUNTIF(F305:F322, $H$2))
</f>
        <v>0</v>
      </c>
      <c r="L305" s="24">
        <f t="array" ref="L305:L322">IF(SEQUENCE(18, 1), COUNTIF(G305:G322, $H$2))
</f>
        <v>6</v>
      </c>
      <c r="M305" s="53" t="s">
        <v>59</v>
      </c>
      <c r="N305" s="10">
        <v>2.0</v>
      </c>
      <c r="O305" s="10">
        <v>1.0</v>
      </c>
      <c r="P305" s="26">
        <f t="array" ref="P305:P322">IF(SEQUENCE(18, 1), COUNTIF(F305:F322, $M$2))
</f>
        <v>4</v>
      </c>
      <c r="Q305" s="26">
        <f t="array" ref="Q305:Q322">IF(SEQUENCE(18, 1), COUNTIF(G305:G322, $M$2))
</f>
        <v>3</v>
      </c>
      <c r="R305" s="54" t="s">
        <v>25</v>
      </c>
      <c r="S305" s="11">
        <v>8.0</v>
      </c>
      <c r="T305" s="11">
        <v>7.0</v>
      </c>
      <c r="U305" s="28">
        <f t="array" ref="U305:U322">IF(SEQUENCE(18, 1), COUNTIF(F305:F322, $R$2))
</f>
        <v>6</v>
      </c>
      <c r="V305" s="28">
        <f t="array" ref="V305:V322">IF(SEQUENCE(18, 1), COUNTIF(G305:G322, $R$2))
</f>
        <v>1</v>
      </c>
      <c r="W305" s="50" t="s">
        <v>33</v>
      </c>
      <c r="X305" s="30">
        <v>0.0</v>
      </c>
      <c r="Y305" s="30">
        <v>3.0</v>
      </c>
      <c r="Z305" s="31">
        <f t="array" ref="Z305:Z322">IF(SEQUENCE(18, 1), COUNTIF(F305:F322, $W$2))
</f>
        <v>0</v>
      </c>
      <c r="AA305" s="31">
        <f t="array" ref="AA305:AA322">IF(SEQUENCE(18, 1), COUNTIF(G305:G322, $W$2))
</f>
        <v>0</v>
      </c>
      <c r="AB305" s="32" t="s">
        <v>9</v>
      </c>
      <c r="AC305" s="32" t="s">
        <v>30</v>
      </c>
      <c r="AD305" s="13">
        <v>0.0</v>
      </c>
      <c r="AE305" s="13">
        <v>2.0</v>
      </c>
      <c r="AF305" s="13">
        <f t="shared" ref="AF305:AF322" si="95">IF(AB305 = "Borta", AJ305, (IF(AB305 = "Hemma", AI305, 0)))</f>
        <v>6</v>
      </c>
      <c r="AG305" s="33">
        <f t="shared" ref="AG305:AG322" si="96">IF(AB305 = "Hemma", AJ305, (IF(AB305 = "Borta", AI305, 0)))</f>
        <v>4</v>
      </c>
      <c r="AH305" s="33">
        <f t="shared" ref="AH305:AH322" si="97">IF(AB305 = "Borta", AK305, (IF(AB305 = "Hemma", AL305, 0)))</f>
        <v>5</v>
      </c>
      <c r="AI305" s="33">
        <f t="array" ref="AI305:AI322">IF(F305 &lt;&gt; "",
     SEQUENCE(18,1,1,0)*SUM(IF(A305:A322 = F305:F322, 1, 0)),
     SEQUENCE(18,1,0,0)
  )</f>
        <v>6</v>
      </c>
      <c r="AJ305" s="33">
        <f t="array" ref="AJ305:AJ322">IF(G305 &lt;&gt; "",
     SEQUENCE(18,1,1,0)*SUM(IF(E305:E322 = F305:F322, 1, 0)),
     SEQUENCE(18,1,0,0)
  )</f>
        <v>4</v>
      </c>
      <c r="AK305" s="33">
        <f t="array" ref="AK305:AK322">IF(SEQUENCE(18, 1), COUNTIF(B305:B322, 0))</f>
        <v>3</v>
      </c>
      <c r="AL305" s="33">
        <f t="array" ref="AL305:AL322">IF(SEQUENCE(18, 1), COUNTIF(D305:D322, 0))</f>
        <v>5</v>
      </c>
    </row>
    <row r="306">
      <c r="A306" s="20" t="str">
        <f>IFERROR(__xludf.DUMMYFUNCTION("""COMPUTED_VALUE"""),"Rosa")</f>
        <v>Rosa</v>
      </c>
      <c r="B306" s="8">
        <v>1.0</v>
      </c>
      <c r="C306" s="8" t="str">
        <f t="shared" si="92"/>
        <v>-</v>
      </c>
      <c r="D306" s="8">
        <v>0.0</v>
      </c>
      <c r="E306" s="21" t="s">
        <v>2</v>
      </c>
      <c r="F306" s="22" t="str">
        <f t="shared" si="93"/>
        <v>Rosa</v>
      </c>
      <c r="G306" s="22" t="str">
        <f t="shared" si="94"/>
        <v>Blå</v>
      </c>
      <c r="H306" s="52" t="s">
        <v>36</v>
      </c>
      <c r="I306" s="9">
        <v>0.0</v>
      </c>
      <c r="J306" s="9">
        <v>2.0</v>
      </c>
      <c r="K306" s="24">
        <v>0.0</v>
      </c>
      <c r="L306" s="24">
        <v>6.0</v>
      </c>
      <c r="M306" s="53" t="s">
        <v>58</v>
      </c>
      <c r="N306" s="10">
        <v>5.0</v>
      </c>
      <c r="O306" s="10">
        <v>0.0</v>
      </c>
      <c r="P306" s="26">
        <v>4.0</v>
      </c>
      <c r="Q306" s="26">
        <v>3.0</v>
      </c>
      <c r="R306" s="54" t="s">
        <v>57</v>
      </c>
      <c r="S306" s="11">
        <v>9.0</v>
      </c>
      <c r="T306" s="11">
        <v>3.0</v>
      </c>
      <c r="U306" s="28">
        <v>6.0</v>
      </c>
      <c r="V306" s="28">
        <v>1.0</v>
      </c>
      <c r="W306" s="50" t="s">
        <v>40</v>
      </c>
      <c r="X306" s="30">
        <v>0.0</v>
      </c>
      <c r="Y306" s="30">
        <v>3.0</v>
      </c>
      <c r="Z306" s="31">
        <v>0.0</v>
      </c>
      <c r="AA306" s="31">
        <v>0.0</v>
      </c>
      <c r="AB306" s="32" t="s">
        <v>11</v>
      </c>
      <c r="AC306" s="32"/>
      <c r="AD306" s="13">
        <v>0.0</v>
      </c>
      <c r="AE306" s="13">
        <v>0.0</v>
      </c>
      <c r="AF306" s="13">
        <f t="shared" si="95"/>
        <v>4</v>
      </c>
      <c r="AG306" s="33">
        <f t="shared" si="96"/>
        <v>6</v>
      </c>
      <c r="AH306" s="33">
        <f t="shared" si="97"/>
        <v>3</v>
      </c>
      <c r="AI306" s="33">
        <v>6.0</v>
      </c>
      <c r="AJ306" s="33">
        <v>4.0</v>
      </c>
      <c r="AK306" s="33">
        <v>3.0</v>
      </c>
      <c r="AL306" s="33">
        <v>5.0</v>
      </c>
    </row>
    <row r="307">
      <c r="A307" s="20" t="str">
        <f>IFERROR(__xludf.DUMMYFUNCTION("""COMPUTED_VALUE"""),"Grön")</f>
        <v>Grön</v>
      </c>
      <c r="B307" s="8">
        <v>1.0</v>
      </c>
      <c r="C307" s="8" t="str">
        <f t="shared" si="92"/>
        <v>-</v>
      </c>
      <c r="D307" s="8">
        <v>0.0</v>
      </c>
      <c r="E307" s="21" t="s">
        <v>5</v>
      </c>
      <c r="F307" s="22" t="str">
        <f t="shared" si="93"/>
        <v>Grön</v>
      </c>
      <c r="G307" s="22" t="str">
        <f t="shared" si="94"/>
        <v>Rosa</v>
      </c>
      <c r="H307" s="52" t="s">
        <v>24</v>
      </c>
      <c r="I307" s="9">
        <v>0.0</v>
      </c>
      <c r="J307" s="9">
        <v>4.0</v>
      </c>
      <c r="K307" s="24">
        <v>0.0</v>
      </c>
      <c r="L307" s="24">
        <v>6.0</v>
      </c>
      <c r="M307" s="53" t="s">
        <v>74</v>
      </c>
      <c r="N307" s="10">
        <v>1.0</v>
      </c>
      <c r="O307" s="10">
        <v>0.0</v>
      </c>
      <c r="P307" s="26">
        <v>4.0</v>
      </c>
      <c r="Q307" s="26">
        <v>3.0</v>
      </c>
      <c r="R307" s="54" t="s">
        <v>67</v>
      </c>
      <c r="S307" s="11">
        <v>1.0</v>
      </c>
      <c r="T307" s="11">
        <v>8.0</v>
      </c>
      <c r="U307" s="28">
        <v>6.0</v>
      </c>
      <c r="V307" s="28">
        <v>1.0</v>
      </c>
      <c r="W307" s="50" t="s">
        <v>42</v>
      </c>
      <c r="X307" s="30">
        <v>0.0</v>
      </c>
      <c r="Y307" s="30">
        <v>3.0</v>
      </c>
      <c r="Z307" s="31">
        <v>0.0</v>
      </c>
      <c r="AA307" s="31">
        <v>0.0</v>
      </c>
      <c r="AB307" s="34"/>
      <c r="AF307" s="13">
        <f t="shared" si="95"/>
        <v>0</v>
      </c>
      <c r="AG307" s="33">
        <f t="shared" si="96"/>
        <v>0</v>
      </c>
      <c r="AH307" s="33">
        <f t="shared" si="97"/>
        <v>0</v>
      </c>
      <c r="AI307" s="33">
        <v>6.0</v>
      </c>
      <c r="AJ307" s="33">
        <v>4.0</v>
      </c>
      <c r="AK307" s="33">
        <v>3.0</v>
      </c>
      <c r="AL307" s="33">
        <v>5.0</v>
      </c>
    </row>
    <row r="308">
      <c r="A308" s="20" t="str">
        <f>IFERROR(__xludf.DUMMYFUNCTION("""COMPUTED_VALUE"""),"Blå")</f>
        <v>Blå</v>
      </c>
      <c r="B308" s="8">
        <v>0.0</v>
      </c>
      <c r="C308" s="8" t="str">
        <f t="shared" si="92"/>
        <v>-</v>
      </c>
      <c r="D308" s="8">
        <v>3.0</v>
      </c>
      <c r="E308" s="21" t="s">
        <v>6</v>
      </c>
      <c r="F308" s="22" t="str">
        <f t="shared" si="93"/>
        <v>Grön</v>
      </c>
      <c r="G308" s="22" t="str">
        <f t="shared" si="94"/>
        <v>Blå</v>
      </c>
      <c r="H308" s="23" t="s">
        <v>26</v>
      </c>
      <c r="I308" s="9">
        <v>3.0</v>
      </c>
      <c r="J308" s="9">
        <v>0.0</v>
      </c>
      <c r="K308" s="24">
        <v>0.0</v>
      </c>
      <c r="L308" s="24">
        <v>6.0</v>
      </c>
      <c r="M308" s="53" t="s">
        <v>35</v>
      </c>
      <c r="N308" s="10">
        <v>0.0</v>
      </c>
      <c r="O308" s="10">
        <v>2.0</v>
      </c>
      <c r="P308" s="26">
        <v>4.0</v>
      </c>
      <c r="Q308" s="26">
        <v>3.0</v>
      </c>
      <c r="R308" s="54" t="s">
        <v>29</v>
      </c>
      <c r="S308" s="11">
        <v>5.0</v>
      </c>
      <c r="T308" s="11">
        <v>3.0</v>
      </c>
      <c r="U308" s="28">
        <v>6.0</v>
      </c>
      <c r="V308" s="28">
        <v>1.0</v>
      </c>
      <c r="W308" s="29"/>
      <c r="X308" s="30">
        <v>0.0</v>
      </c>
      <c r="Y308" s="30">
        <v>0.0</v>
      </c>
      <c r="Z308" s="31">
        <v>0.0</v>
      </c>
      <c r="AA308" s="31">
        <v>0.0</v>
      </c>
      <c r="AF308" s="13">
        <f t="shared" si="95"/>
        <v>0</v>
      </c>
      <c r="AG308" s="33">
        <f t="shared" si="96"/>
        <v>0</v>
      </c>
      <c r="AH308" s="33">
        <f t="shared" si="97"/>
        <v>0</v>
      </c>
      <c r="AI308" s="33">
        <v>6.0</v>
      </c>
      <c r="AJ308" s="33">
        <v>4.0</v>
      </c>
      <c r="AK308" s="33">
        <v>3.0</v>
      </c>
      <c r="AL308" s="33">
        <v>5.0</v>
      </c>
    </row>
    <row r="309">
      <c r="A309" s="20" t="str">
        <f>IFERROR(__xludf.DUMMYFUNCTION("""COMPUTED_VALUE"""),"Rosa")</f>
        <v>Rosa</v>
      </c>
      <c r="B309" s="8">
        <v>1.0</v>
      </c>
      <c r="C309" s="8" t="str">
        <f t="shared" si="92"/>
        <v>-</v>
      </c>
      <c r="D309" s="8">
        <v>0.0</v>
      </c>
      <c r="E309" s="21" t="s">
        <v>2</v>
      </c>
      <c r="F309" s="22" t="str">
        <f t="shared" si="93"/>
        <v>Rosa</v>
      </c>
      <c r="G309" s="22" t="str">
        <f t="shared" si="94"/>
        <v>Blå</v>
      </c>
      <c r="H309" s="38"/>
      <c r="I309" s="9">
        <v>0.0</v>
      </c>
      <c r="J309" s="9">
        <v>0.0</v>
      </c>
      <c r="K309" s="24">
        <v>0.0</v>
      </c>
      <c r="L309" s="24">
        <v>6.0</v>
      </c>
      <c r="M309" s="35"/>
      <c r="N309" s="10">
        <v>0.0</v>
      </c>
      <c r="O309" s="10">
        <v>0.0</v>
      </c>
      <c r="P309" s="26">
        <v>4.0</v>
      </c>
      <c r="Q309" s="26">
        <v>3.0</v>
      </c>
      <c r="R309" s="27"/>
      <c r="S309" s="11">
        <v>0.0</v>
      </c>
      <c r="T309" s="11">
        <v>0.0</v>
      </c>
      <c r="U309" s="28">
        <v>6.0</v>
      </c>
      <c r="V309" s="28">
        <v>1.0</v>
      </c>
      <c r="W309" s="29"/>
      <c r="X309" s="30">
        <v>0.0</v>
      </c>
      <c r="Y309" s="30">
        <v>0.0</v>
      </c>
      <c r="Z309" s="31">
        <v>0.0</v>
      </c>
      <c r="AA309" s="31">
        <v>0.0</v>
      </c>
      <c r="AF309" s="13">
        <f t="shared" si="95"/>
        <v>0</v>
      </c>
      <c r="AG309" s="33">
        <f t="shared" si="96"/>
        <v>0</v>
      </c>
      <c r="AH309" s="33">
        <f t="shared" si="97"/>
        <v>0</v>
      </c>
      <c r="AI309" s="33">
        <v>6.0</v>
      </c>
      <c r="AJ309" s="33">
        <v>4.0</v>
      </c>
      <c r="AK309" s="33">
        <v>3.0</v>
      </c>
      <c r="AL309" s="33">
        <v>5.0</v>
      </c>
    </row>
    <row r="310">
      <c r="A310" s="20" t="str">
        <f>IFERROR(__xludf.DUMMYFUNCTION("""COMPUTED_VALUE"""),"Grön")</f>
        <v>Grön</v>
      </c>
      <c r="B310" s="8">
        <v>3.0</v>
      </c>
      <c r="C310" s="8" t="str">
        <f t="shared" si="92"/>
        <v>-</v>
      </c>
      <c r="D310" s="8">
        <v>0.0</v>
      </c>
      <c r="E310" s="21" t="s">
        <v>5</v>
      </c>
      <c r="F310" s="22" t="str">
        <f t="shared" si="93"/>
        <v>Grön</v>
      </c>
      <c r="G310" s="22" t="str">
        <f t="shared" si="94"/>
        <v>Rosa</v>
      </c>
      <c r="H310" s="38"/>
      <c r="I310" s="9">
        <v>0.0</v>
      </c>
      <c r="J310" s="9">
        <v>0.0</v>
      </c>
      <c r="K310" s="24">
        <v>0.0</v>
      </c>
      <c r="L310" s="24">
        <v>6.0</v>
      </c>
      <c r="M310" s="35"/>
      <c r="N310" s="10">
        <v>0.0</v>
      </c>
      <c r="O310" s="10">
        <v>0.0</v>
      </c>
      <c r="P310" s="26">
        <v>4.0</v>
      </c>
      <c r="Q310" s="26">
        <v>3.0</v>
      </c>
      <c r="R310" s="36"/>
      <c r="S310" s="11">
        <v>0.0</v>
      </c>
      <c r="T310" s="11">
        <v>0.0</v>
      </c>
      <c r="U310" s="28">
        <v>6.0</v>
      </c>
      <c r="V310" s="28">
        <v>1.0</v>
      </c>
      <c r="W310" s="29"/>
      <c r="X310" s="30">
        <v>0.0</v>
      </c>
      <c r="Y310" s="30">
        <v>0.0</v>
      </c>
      <c r="Z310" s="31">
        <v>0.0</v>
      </c>
      <c r="AA310" s="31">
        <v>0.0</v>
      </c>
      <c r="AF310" s="13">
        <f t="shared" si="95"/>
        <v>0</v>
      </c>
      <c r="AG310" s="33">
        <f t="shared" si="96"/>
        <v>0</v>
      </c>
      <c r="AH310" s="33">
        <f t="shared" si="97"/>
        <v>0</v>
      </c>
      <c r="AI310" s="33">
        <v>6.0</v>
      </c>
      <c r="AJ310" s="33">
        <v>4.0</v>
      </c>
      <c r="AK310" s="33">
        <v>3.0</v>
      </c>
      <c r="AL310" s="33">
        <v>5.0</v>
      </c>
    </row>
    <row r="311">
      <c r="A311" s="20" t="str">
        <f>IFERROR(__xludf.DUMMYFUNCTION("""COMPUTED_VALUE"""),"Blå")</f>
        <v>Blå</v>
      </c>
      <c r="B311" s="8">
        <v>0.0</v>
      </c>
      <c r="C311" s="8" t="str">
        <f t="shared" si="92"/>
        <v>-</v>
      </c>
      <c r="D311" s="8">
        <v>2.0</v>
      </c>
      <c r="E311" s="21" t="s">
        <v>6</v>
      </c>
      <c r="F311" s="22" t="str">
        <f t="shared" si="93"/>
        <v>Grön</v>
      </c>
      <c r="G311" s="22" t="str">
        <f t="shared" si="94"/>
        <v>Blå</v>
      </c>
      <c r="H311" s="23"/>
      <c r="I311" s="9">
        <v>0.0</v>
      </c>
      <c r="J311" s="9">
        <v>0.0</v>
      </c>
      <c r="K311" s="24">
        <v>0.0</v>
      </c>
      <c r="L311" s="24">
        <v>6.0</v>
      </c>
      <c r="M311" s="35"/>
      <c r="N311" s="10">
        <v>0.0</v>
      </c>
      <c r="O311" s="10">
        <v>0.0</v>
      </c>
      <c r="P311" s="26">
        <v>4.0</v>
      </c>
      <c r="Q311" s="26">
        <v>3.0</v>
      </c>
      <c r="R311" s="36"/>
      <c r="S311" s="11">
        <v>0.0</v>
      </c>
      <c r="T311" s="11">
        <v>0.0</v>
      </c>
      <c r="U311" s="28">
        <v>6.0</v>
      </c>
      <c r="V311" s="28">
        <v>1.0</v>
      </c>
      <c r="W311" s="29"/>
      <c r="X311" s="30">
        <v>0.0</v>
      </c>
      <c r="Y311" s="30">
        <v>0.0</v>
      </c>
      <c r="Z311" s="31">
        <v>0.0</v>
      </c>
      <c r="AA311" s="31">
        <v>0.0</v>
      </c>
      <c r="AF311" s="13">
        <f t="shared" si="95"/>
        <v>0</v>
      </c>
      <c r="AG311" s="33">
        <f t="shared" si="96"/>
        <v>0</v>
      </c>
      <c r="AH311" s="33">
        <f t="shared" si="97"/>
        <v>0</v>
      </c>
      <c r="AI311" s="33">
        <v>6.0</v>
      </c>
      <c r="AJ311" s="33">
        <v>4.0</v>
      </c>
      <c r="AK311" s="33">
        <v>3.0</v>
      </c>
      <c r="AL311" s="33">
        <v>5.0</v>
      </c>
    </row>
    <row r="312">
      <c r="A312" s="20" t="str">
        <f>IFERROR(__xludf.DUMMYFUNCTION("""COMPUTED_VALUE"""),"Rosa")</f>
        <v>Rosa</v>
      </c>
      <c r="B312" s="8">
        <v>1.0</v>
      </c>
      <c r="C312" s="8" t="str">
        <f t="shared" si="92"/>
        <v>-</v>
      </c>
      <c r="D312" s="8">
        <v>1.0</v>
      </c>
      <c r="E312" s="21" t="s">
        <v>2</v>
      </c>
      <c r="F312" s="22" t="str">
        <f t="shared" si="93"/>
        <v>Oavgjort</v>
      </c>
      <c r="G312" s="22" t="str">
        <f t="shared" si="94"/>
        <v>Oavgjort</v>
      </c>
      <c r="H312" s="38"/>
      <c r="K312" s="24">
        <v>0.0</v>
      </c>
      <c r="L312" s="24">
        <v>6.0</v>
      </c>
      <c r="M312" s="35"/>
      <c r="P312" s="26">
        <v>4.0</v>
      </c>
      <c r="Q312" s="26">
        <v>3.0</v>
      </c>
      <c r="R312" s="36"/>
      <c r="U312" s="28">
        <v>6.0</v>
      </c>
      <c r="V312" s="28">
        <v>1.0</v>
      </c>
      <c r="W312" s="37"/>
      <c r="Z312" s="31">
        <v>0.0</v>
      </c>
      <c r="AA312" s="31">
        <v>0.0</v>
      </c>
      <c r="AF312" s="13">
        <f t="shared" si="95"/>
        <v>0</v>
      </c>
      <c r="AG312" s="33">
        <f t="shared" si="96"/>
        <v>0</v>
      </c>
      <c r="AH312" s="33">
        <f t="shared" si="97"/>
        <v>0</v>
      </c>
      <c r="AI312" s="33">
        <v>6.0</v>
      </c>
      <c r="AJ312" s="33">
        <v>4.0</v>
      </c>
      <c r="AK312" s="33">
        <v>3.0</v>
      </c>
      <c r="AL312" s="33">
        <v>5.0</v>
      </c>
    </row>
    <row r="313">
      <c r="A313" s="20" t="str">
        <f>IFERROR(__xludf.DUMMYFUNCTION("""COMPUTED_VALUE"""),"Grön")</f>
        <v>Grön</v>
      </c>
      <c r="B313" s="8">
        <v>4.0</v>
      </c>
      <c r="C313" s="8" t="str">
        <f t="shared" si="92"/>
        <v>-</v>
      </c>
      <c r="D313" s="8">
        <v>2.0</v>
      </c>
      <c r="E313" s="21" t="s">
        <v>5</v>
      </c>
      <c r="F313" s="22" t="str">
        <f t="shared" si="93"/>
        <v>Grön</v>
      </c>
      <c r="G313" s="22" t="str">
        <f t="shared" si="94"/>
        <v>Rosa</v>
      </c>
      <c r="K313" s="24">
        <v>0.0</v>
      </c>
      <c r="L313" s="24">
        <v>6.0</v>
      </c>
      <c r="P313" s="26">
        <v>4.0</v>
      </c>
      <c r="Q313" s="26">
        <v>3.0</v>
      </c>
      <c r="U313" s="28">
        <v>6.0</v>
      </c>
      <c r="V313" s="28">
        <v>1.0</v>
      </c>
      <c r="Z313" s="31">
        <v>0.0</v>
      </c>
      <c r="AA313" s="31">
        <v>0.0</v>
      </c>
      <c r="AF313" s="13">
        <f t="shared" si="95"/>
        <v>0</v>
      </c>
      <c r="AG313" s="33">
        <f t="shared" si="96"/>
        <v>0</v>
      </c>
      <c r="AH313" s="33">
        <f t="shared" si="97"/>
        <v>0</v>
      </c>
      <c r="AI313" s="33">
        <v>6.0</v>
      </c>
      <c r="AJ313" s="33">
        <v>4.0</v>
      </c>
      <c r="AK313" s="33">
        <v>3.0</v>
      </c>
      <c r="AL313" s="33">
        <v>5.0</v>
      </c>
    </row>
    <row r="314">
      <c r="A314" s="20" t="str">
        <f>IFERROR(__xludf.DUMMYFUNCTION("""COMPUTED_VALUE"""),"Blå")</f>
        <v>Blå</v>
      </c>
      <c r="B314" s="8">
        <v>1.0</v>
      </c>
      <c r="C314" s="8" t="str">
        <f t="shared" si="92"/>
        <v>-</v>
      </c>
      <c r="D314" s="8">
        <v>2.0</v>
      </c>
      <c r="E314" s="21" t="s">
        <v>6</v>
      </c>
      <c r="F314" s="22" t="str">
        <f t="shared" si="93"/>
        <v>Grön</v>
      </c>
      <c r="G314" s="22" t="str">
        <f t="shared" si="94"/>
        <v>Blå</v>
      </c>
      <c r="K314" s="24">
        <v>0.0</v>
      </c>
      <c r="L314" s="24">
        <v>6.0</v>
      </c>
      <c r="P314" s="26">
        <v>4.0</v>
      </c>
      <c r="Q314" s="26">
        <v>3.0</v>
      </c>
      <c r="U314" s="28">
        <v>6.0</v>
      </c>
      <c r="V314" s="28">
        <v>1.0</v>
      </c>
      <c r="Z314" s="31">
        <v>0.0</v>
      </c>
      <c r="AA314" s="31">
        <v>0.0</v>
      </c>
      <c r="AF314" s="13">
        <f t="shared" si="95"/>
        <v>0</v>
      </c>
      <c r="AG314" s="33">
        <f t="shared" si="96"/>
        <v>0</v>
      </c>
      <c r="AH314" s="33">
        <f t="shared" si="97"/>
        <v>0</v>
      </c>
      <c r="AI314" s="33">
        <v>6.0</v>
      </c>
      <c r="AJ314" s="33">
        <v>4.0</v>
      </c>
      <c r="AK314" s="33">
        <v>3.0</v>
      </c>
      <c r="AL314" s="33">
        <v>5.0</v>
      </c>
    </row>
    <row r="315">
      <c r="A315" s="20" t="str">
        <f>IFERROR(__xludf.DUMMYFUNCTION("""COMPUTED_VALUE"""),"Rosa")</f>
        <v>Rosa</v>
      </c>
      <c r="B315" s="8">
        <v>2.0</v>
      </c>
      <c r="C315" s="8" t="str">
        <f t="shared" si="92"/>
        <v>-</v>
      </c>
      <c r="D315" s="8">
        <v>0.0</v>
      </c>
      <c r="E315" s="21" t="s">
        <v>2</v>
      </c>
      <c r="F315" s="22" t="str">
        <f t="shared" si="93"/>
        <v>Rosa</v>
      </c>
      <c r="G315" s="22" t="str">
        <f t="shared" si="94"/>
        <v>Blå</v>
      </c>
      <c r="K315" s="24">
        <v>0.0</v>
      </c>
      <c r="L315" s="24">
        <v>6.0</v>
      </c>
      <c r="P315" s="26">
        <v>4.0</v>
      </c>
      <c r="Q315" s="26">
        <v>3.0</v>
      </c>
      <c r="U315" s="28">
        <v>6.0</v>
      </c>
      <c r="V315" s="28">
        <v>1.0</v>
      </c>
      <c r="Z315" s="31">
        <v>0.0</v>
      </c>
      <c r="AA315" s="31">
        <v>0.0</v>
      </c>
      <c r="AF315" s="13">
        <f t="shared" si="95"/>
        <v>0</v>
      </c>
      <c r="AG315" s="33">
        <f t="shared" si="96"/>
        <v>0</v>
      </c>
      <c r="AH315" s="33">
        <f t="shared" si="97"/>
        <v>0</v>
      </c>
      <c r="AI315" s="33">
        <v>6.0</v>
      </c>
      <c r="AJ315" s="33">
        <v>4.0</v>
      </c>
      <c r="AK315" s="33">
        <v>3.0</v>
      </c>
      <c r="AL315" s="33">
        <v>5.0</v>
      </c>
    </row>
    <row r="316">
      <c r="A316" s="20" t="str">
        <f>IFERROR(__xludf.DUMMYFUNCTION("""COMPUTED_VALUE"""),"Grön")</f>
        <v>Grön</v>
      </c>
      <c r="B316" s="8">
        <v>0.0</v>
      </c>
      <c r="C316" s="8" t="str">
        <f t="shared" si="92"/>
        <v>-</v>
      </c>
      <c r="D316" s="8">
        <v>1.0</v>
      </c>
      <c r="E316" s="21" t="s">
        <v>5</v>
      </c>
      <c r="F316" s="22" t="str">
        <f t="shared" si="93"/>
        <v>Rosa</v>
      </c>
      <c r="G316" s="22" t="str">
        <f t="shared" si="94"/>
        <v>Grön</v>
      </c>
      <c r="K316" s="24">
        <v>0.0</v>
      </c>
      <c r="L316" s="24">
        <v>6.0</v>
      </c>
      <c r="P316" s="26">
        <v>4.0</v>
      </c>
      <c r="Q316" s="26">
        <v>3.0</v>
      </c>
      <c r="U316" s="28">
        <v>6.0</v>
      </c>
      <c r="V316" s="28">
        <v>1.0</v>
      </c>
      <c r="Z316" s="31">
        <v>0.0</v>
      </c>
      <c r="AA316" s="31">
        <v>0.0</v>
      </c>
      <c r="AF316" s="13">
        <f t="shared" si="95"/>
        <v>0</v>
      </c>
      <c r="AG316" s="33">
        <f t="shared" si="96"/>
        <v>0</v>
      </c>
      <c r="AH316" s="33">
        <f t="shared" si="97"/>
        <v>0</v>
      </c>
      <c r="AI316" s="33">
        <v>6.0</v>
      </c>
      <c r="AJ316" s="33">
        <v>4.0</v>
      </c>
      <c r="AK316" s="33">
        <v>3.0</v>
      </c>
      <c r="AL316" s="33">
        <v>5.0</v>
      </c>
    </row>
    <row r="317">
      <c r="A317" s="20" t="str">
        <f>IFERROR(__xludf.DUMMYFUNCTION("""COMPUTED_VALUE"""),"Blå")</f>
        <v>Blå</v>
      </c>
      <c r="B317" s="8">
        <v>1.0</v>
      </c>
      <c r="C317" s="8" t="str">
        <f t="shared" si="92"/>
        <v>-</v>
      </c>
      <c r="D317" s="8">
        <v>1.0</v>
      </c>
      <c r="E317" s="21" t="s">
        <v>6</v>
      </c>
      <c r="F317" s="22" t="str">
        <f t="shared" si="93"/>
        <v>Oavgjort</v>
      </c>
      <c r="G317" s="22" t="str">
        <f t="shared" si="94"/>
        <v>Oavgjort</v>
      </c>
      <c r="K317" s="24">
        <v>0.0</v>
      </c>
      <c r="L317" s="24">
        <v>6.0</v>
      </c>
      <c r="P317" s="26">
        <v>4.0</v>
      </c>
      <c r="Q317" s="26">
        <v>3.0</v>
      </c>
      <c r="U317" s="28">
        <v>6.0</v>
      </c>
      <c r="V317" s="28">
        <v>1.0</v>
      </c>
      <c r="Z317" s="31">
        <v>0.0</v>
      </c>
      <c r="AA317" s="31">
        <v>0.0</v>
      </c>
      <c r="AF317" s="13">
        <f t="shared" si="95"/>
        <v>0</v>
      </c>
      <c r="AG317" s="33">
        <f t="shared" si="96"/>
        <v>0</v>
      </c>
      <c r="AH317" s="33">
        <f t="shared" si="97"/>
        <v>0</v>
      </c>
      <c r="AI317" s="33">
        <v>6.0</v>
      </c>
      <c r="AJ317" s="33">
        <v>4.0</v>
      </c>
      <c r="AK317" s="33">
        <v>3.0</v>
      </c>
      <c r="AL317" s="33">
        <v>5.0</v>
      </c>
    </row>
    <row r="318">
      <c r="A318" s="20" t="str">
        <f>IFERROR(__xludf.DUMMYFUNCTION("""COMPUTED_VALUE"""),"Rosa")</f>
        <v>Rosa</v>
      </c>
      <c r="B318" s="8"/>
      <c r="C318" s="8" t="str">
        <f t="shared" si="92"/>
        <v>-</v>
      </c>
      <c r="D318" s="8"/>
      <c r="E318" s="21" t="s">
        <v>2</v>
      </c>
      <c r="F318" s="22" t="str">
        <f t="shared" si="93"/>
        <v/>
      </c>
      <c r="G318" s="22" t="str">
        <f t="shared" si="94"/>
        <v/>
      </c>
      <c r="K318" s="24">
        <v>0.0</v>
      </c>
      <c r="L318" s="24">
        <v>6.0</v>
      </c>
      <c r="P318" s="26">
        <v>4.0</v>
      </c>
      <c r="Q318" s="26">
        <v>3.0</v>
      </c>
      <c r="U318" s="28">
        <v>6.0</v>
      </c>
      <c r="V318" s="28">
        <v>1.0</v>
      </c>
      <c r="Z318" s="31">
        <v>0.0</v>
      </c>
      <c r="AA318" s="31">
        <v>0.0</v>
      </c>
      <c r="AF318" s="13">
        <f t="shared" si="95"/>
        <v>0</v>
      </c>
      <c r="AG318" s="33">
        <f t="shared" si="96"/>
        <v>0</v>
      </c>
      <c r="AH318" s="33">
        <f t="shared" si="97"/>
        <v>0</v>
      </c>
      <c r="AI318" s="33">
        <v>6.0</v>
      </c>
      <c r="AJ318" s="33">
        <v>4.0</v>
      </c>
      <c r="AK318" s="33">
        <v>3.0</v>
      </c>
      <c r="AL318" s="33">
        <v>5.0</v>
      </c>
    </row>
    <row r="319">
      <c r="A319" s="20" t="str">
        <f>IFERROR(__xludf.DUMMYFUNCTION("""COMPUTED_VALUE"""),"Grön")</f>
        <v>Grön</v>
      </c>
      <c r="B319" s="8"/>
      <c r="C319" s="8" t="str">
        <f t="shared" si="92"/>
        <v>-</v>
      </c>
      <c r="D319" s="8"/>
      <c r="E319" s="21" t="s">
        <v>5</v>
      </c>
      <c r="F319" s="22" t="str">
        <f t="shared" si="93"/>
        <v/>
      </c>
      <c r="G319" s="22" t="str">
        <f t="shared" si="94"/>
        <v/>
      </c>
      <c r="K319" s="24">
        <v>0.0</v>
      </c>
      <c r="L319" s="24">
        <v>6.0</v>
      </c>
      <c r="P319" s="26">
        <v>4.0</v>
      </c>
      <c r="Q319" s="26">
        <v>3.0</v>
      </c>
      <c r="U319" s="28">
        <v>6.0</v>
      </c>
      <c r="V319" s="28">
        <v>1.0</v>
      </c>
      <c r="Z319" s="31">
        <v>0.0</v>
      </c>
      <c r="AA319" s="31">
        <v>0.0</v>
      </c>
      <c r="AF319" s="13">
        <f t="shared" si="95"/>
        <v>0</v>
      </c>
      <c r="AG319" s="33">
        <f t="shared" si="96"/>
        <v>0</v>
      </c>
      <c r="AH319" s="33">
        <f t="shared" si="97"/>
        <v>0</v>
      </c>
      <c r="AI319" s="33">
        <v>6.0</v>
      </c>
      <c r="AJ319" s="33">
        <v>4.0</v>
      </c>
      <c r="AK319" s="33">
        <v>3.0</v>
      </c>
      <c r="AL319" s="33">
        <v>5.0</v>
      </c>
    </row>
    <row r="320">
      <c r="A320" s="20" t="str">
        <f>IFERROR(__xludf.DUMMYFUNCTION("""COMPUTED_VALUE"""),"Blå")</f>
        <v>Blå</v>
      </c>
      <c r="B320" s="8"/>
      <c r="C320" s="8" t="str">
        <f t="shared" si="92"/>
        <v>-</v>
      </c>
      <c r="D320" s="22"/>
      <c r="E320" s="21" t="s">
        <v>6</v>
      </c>
      <c r="F320" s="22" t="str">
        <f t="shared" si="93"/>
        <v/>
      </c>
      <c r="G320" s="22" t="str">
        <f t="shared" si="94"/>
        <v/>
      </c>
      <c r="K320" s="24">
        <v>0.0</v>
      </c>
      <c r="L320" s="24">
        <v>6.0</v>
      </c>
      <c r="P320" s="26">
        <v>4.0</v>
      </c>
      <c r="Q320" s="26">
        <v>3.0</v>
      </c>
      <c r="U320" s="28">
        <v>6.0</v>
      </c>
      <c r="V320" s="28">
        <v>1.0</v>
      </c>
      <c r="Z320" s="31">
        <v>0.0</v>
      </c>
      <c r="AA320" s="31">
        <v>0.0</v>
      </c>
      <c r="AF320" s="13">
        <f t="shared" si="95"/>
        <v>0</v>
      </c>
      <c r="AG320" s="33">
        <f t="shared" si="96"/>
        <v>0</v>
      </c>
      <c r="AH320" s="33">
        <f t="shared" si="97"/>
        <v>0</v>
      </c>
      <c r="AI320" s="33">
        <v>6.0</v>
      </c>
      <c r="AJ320" s="33">
        <v>4.0</v>
      </c>
      <c r="AK320" s="33">
        <v>3.0</v>
      </c>
      <c r="AL320" s="33">
        <v>5.0</v>
      </c>
    </row>
    <row r="321">
      <c r="A321" s="39" t="str">
        <f>IFERROR(__xludf.DUMMYFUNCTION("""COMPUTED_VALUE"""),"Rosa")</f>
        <v>Rosa</v>
      </c>
      <c r="B321" s="8"/>
      <c r="C321" s="8" t="str">
        <f t="shared" si="92"/>
        <v>-</v>
      </c>
      <c r="D321" s="8"/>
      <c r="E321" s="46" t="s">
        <v>2</v>
      </c>
      <c r="F321" s="22" t="str">
        <f t="shared" si="93"/>
        <v/>
      </c>
      <c r="G321" s="22" t="str">
        <f t="shared" si="94"/>
        <v/>
      </c>
      <c r="K321" s="24">
        <v>0.0</v>
      </c>
      <c r="L321" s="24">
        <v>6.0</v>
      </c>
      <c r="P321" s="26">
        <v>4.0</v>
      </c>
      <c r="Q321" s="26">
        <v>3.0</v>
      </c>
      <c r="U321" s="28">
        <v>6.0</v>
      </c>
      <c r="V321" s="28">
        <v>1.0</v>
      </c>
      <c r="Z321" s="31">
        <v>0.0</v>
      </c>
      <c r="AA321" s="31">
        <v>0.0</v>
      </c>
      <c r="AF321" s="13">
        <f t="shared" si="95"/>
        <v>0</v>
      </c>
      <c r="AG321" s="33">
        <f t="shared" si="96"/>
        <v>0</v>
      </c>
      <c r="AH321" s="33">
        <f t="shared" si="97"/>
        <v>0</v>
      </c>
      <c r="AI321" s="33">
        <v>6.0</v>
      </c>
      <c r="AJ321" s="33">
        <v>4.0</v>
      </c>
      <c r="AK321" s="33">
        <v>3.0</v>
      </c>
      <c r="AL321" s="33">
        <v>5.0</v>
      </c>
    </row>
    <row r="322">
      <c r="A322" s="39" t="str">
        <f>IFERROR(__xludf.DUMMYFUNCTION("""COMPUTED_VALUE"""),"Grön")</f>
        <v>Grön</v>
      </c>
      <c r="B322" s="22"/>
      <c r="C322" s="8" t="str">
        <f t="shared" si="92"/>
        <v>-</v>
      </c>
      <c r="D322" s="22"/>
      <c r="E322" s="46" t="s">
        <v>5</v>
      </c>
      <c r="F322" s="22"/>
      <c r="G322" s="22"/>
      <c r="K322" s="24">
        <v>0.0</v>
      </c>
      <c r="L322" s="24">
        <v>6.0</v>
      </c>
      <c r="P322" s="26">
        <v>4.0</v>
      </c>
      <c r="Q322" s="26">
        <v>3.0</v>
      </c>
      <c r="U322" s="28">
        <v>6.0</v>
      </c>
      <c r="V322" s="28">
        <v>1.0</v>
      </c>
      <c r="Z322" s="31">
        <v>0.0</v>
      </c>
      <c r="AA322" s="31">
        <v>0.0</v>
      </c>
      <c r="AF322" s="13">
        <f t="shared" si="95"/>
        <v>0</v>
      </c>
      <c r="AG322" s="33">
        <f t="shared" si="96"/>
        <v>0</v>
      </c>
      <c r="AH322" s="33">
        <f t="shared" si="97"/>
        <v>0</v>
      </c>
      <c r="AI322" s="33">
        <v>6.0</v>
      </c>
      <c r="AJ322" s="33">
        <v>4.0</v>
      </c>
      <c r="AK322" s="33">
        <v>3.0</v>
      </c>
      <c r="AL322" s="33">
        <v>5.0</v>
      </c>
    </row>
    <row r="323">
      <c r="A323" s="39"/>
      <c r="AH323" s="39"/>
      <c r="AI323" s="39"/>
      <c r="AJ323" s="39"/>
      <c r="AK323" s="39"/>
      <c r="AL323" s="39"/>
    </row>
    <row r="324">
      <c r="A324" s="40" t="str">
        <f>IFERROR(__xludf.DUMMYFUNCTION("""Gameweek "" &amp; (VALUE(REGEXEXTRACT(A304, ""Gameweek (\d+)"")) + 1)"),"Gameweek 17")</f>
        <v>Gameweek 17</v>
      </c>
      <c r="F324" s="40"/>
      <c r="G324" s="40"/>
      <c r="H324" s="41" t="str">
        <f>A324</f>
        <v>Gameweek 17</v>
      </c>
      <c r="K324" s="15" t="s">
        <v>21</v>
      </c>
      <c r="L324" s="15" t="s">
        <v>22</v>
      </c>
      <c r="M324" s="42" t="str">
        <f>A324</f>
        <v>Gameweek 17</v>
      </c>
      <c r="P324" s="16" t="s">
        <v>21</v>
      </c>
      <c r="Q324" s="16" t="s">
        <v>22</v>
      </c>
      <c r="R324" s="43" t="str">
        <f>A324</f>
        <v>Gameweek 17</v>
      </c>
      <c r="U324" s="17" t="s">
        <v>21</v>
      </c>
      <c r="V324" s="17" t="s">
        <v>22</v>
      </c>
      <c r="W324" s="44" t="str">
        <f>A324</f>
        <v>Gameweek 17</v>
      </c>
      <c r="Z324" s="18" t="s">
        <v>21</v>
      </c>
      <c r="AA324" s="18" t="s">
        <v>22</v>
      </c>
      <c r="AB324" s="45" t="str">
        <f>A324</f>
        <v>Gameweek 17</v>
      </c>
      <c r="AF324" s="19" t="s">
        <v>21</v>
      </c>
      <c r="AG324" s="19" t="s">
        <v>22</v>
      </c>
      <c r="AH324" s="19" t="s">
        <v>17</v>
      </c>
      <c r="AI324" s="19" t="s">
        <v>23</v>
      </c>
    </row>
    <row r="325">
      <c r="A325" s="47" t="str">
        <f>IFERROR(__xludf.DUMMYFUNCTION("IFERROR(ARRAYFORMULA(FLATTEN(SPLIT(REPT(TEXTJOIN("","", TRUE, FILTER({H$2, M$2, R$2}, {H325, M325, R325} &lt;&gt; """")) &amp; "","", CEILING(18 / COUNTA(FILTER({H$2, M$2, R$2}, {H325, M325, R325} &lt;&gt; """")))), "",""))), """")
"),"Blå")</f>
        <v>Blå</v>
      </c>
      <c r="B325" s="8">
        <v>0.0</v>
      </c>
      <c r="C325" s="8" t="str">
        <f t="shared" ref="C325:C342" si="98">IF(ISBLANK(A325), "", "-")
</f>
        <v>-</v>
      </c>
      <c r="D325" s="8">
        <v>0.0</v>
      </c>
      <c r="E325" s="48" t="str">
        <f t="array" ref="E325:E342">{A342; A325:A341}</f>
        <v>Rosa</v>
      </c>
      <c r="F325" s="22" t="str">
        <f t="shared" ref="F325:F341" si="99">IF(AND(B325 &lt;&gt; "", D325 &lt;&gt; ""), IF(B325 &gt; D325, A325, IF(D325 &gt; B325, E325, "Oavgjort")), "")</f>
        <v>Oavgjort</v>
      </c>
      <c r="G325" s="22" t="str">
        <f t="shared" ref="G325:G341" si="100">IF(AND(B325 &lt;&gt; "", D325 &lt;&gt; ""), IF(B325 &lt; D325, A325, IF(D325 &lt; B325, E325, "Oavgjort")), "")
</f>
        <v>Oavgjort</v>
      </c>
      <c r="H325" s="52" t="s">
        <v>55</v>
      </c>
      <c r="I325" s="9">
        <v>5.0</v>
      </c>
      <c r="J325" s="9">
        <v>1.0</v>
      </c>
      <c r="K325" s="24">
        <f t="array" ref="K325:K342">IF(SEQUENCE(18, 1), COUNTIF(F325:F342, $H$2))
</f>
        <v>3</v>
      </c>
      <c r="L325" s="24">
        <f t="array" ref="L325:L342">IF(SEQUENCE(18, 1), COUNTIF(G325:G342, $H$2))
</f>
        <v>2</v>
      </c>
      <c r="M325" s="53" t="s">
        <v>57</v>
      </c>
      <c r="N325" s="10">
        <v>5.0</v>
      </c>
      <c r="O325" s="10">
        <v>2.0</v>
      </c>
      <c r="P325" s="26">
        <f t="array" ref="P325:P342">IF(SEQUENCE(18, 1), COUNTIF(F325:F342, $M$2))
</f>
        <v>2</v>
      </c>
      <c r="Q325" s="26">
        <f t="array" ref="Q325:Q342">IF(SEQUENCE(18, 1), COUNTIF(G325:G342, $M$2))
</f>
        <v>3</v>
      </c>
      <c r="R325" s="54"/>
      <c r="S325" s="11">
        <v>0.0</v>
      </c>
      <c r="T325" s="11">
        <v>0.0</v>
      </c>
      <c r="U325" s="28">
        <f t="array" ref="U325:U342">IF(SEQUENCE(18, 1), COUNTIF(F325:F342, $R$2))
</f>
        <v>0</v>
      </c>
      <c r="V325" s="28">
        <f t="array" ref="V325:V342">IF(SEQUENCE(18, 1), COUNTIF(G325:G342, $R$2))
</f>
        <v>0</v>
      </c>
      <c r="W325" s="50"/>
      <c r="X325" s="30">
        <v>0.0</v>
      </c>
      <c r="Y325" s="30">
        <v>0.0</v>
      </c>
      <c r="Z325" s="31">
        <f t="array" ref="Z325:Z342">IF(SEQUENCE(18, 1), COUNTIF(F325:F342, $W$2))
</f>
        <v>0</v>
      </c>
      <c r="AA325" s="31">
        <f t="array" ref="AA325:AA342">IF(SEQUENCE(18, 1), COUNTIF(G325:G342, $W$2))
</f>
        <v>0</v>
      </c>
      <c r="AB325" s="32" t="s">
        <v>9</v>
      </c>
      <c r="AC325" s="32" t="s">
        <v>40</v>
      </c>
      <c r="AD325" s="13">
        <v>0.0</v>
      </c>
      <c r="AE325" s="13">
        <v>0.0</v>
      </c>
      <c r="AF325" s="13">
        <f t="shared" ref="AF325:AF342" si="101">IF(AB325 = "Borta", AJ325, (IF(AB325 = "Hemma", AI325, 0)))</f>
        <v>4</v>
      </c>
      <c r="AG325" s="33">
        <f t="shared" ref="AG325:AG342" si="102">IF(AB325 = "Hemma", AJ325, (IF(AB325 = "Borta", AI325, 0)))</f>
        <v>1</v>
      </c>
      <c r="AH325" s="33">
        <f t="shared" ref="AH325:AH342" si="103">IF(AB325 = "Borta", AK325, (IF(AB325 = "Hemma", AL325, 0)))</f>
        <v>6</v>
      </c>
      <c r="AI325" s="33">
        <f t="array" ref="AI325:AI342">IF(F325 &lt;&gt; "",
     SEQUENCE(18,1,1,0)*SUM(IF(A325:A342 = F325:F342, 1, 0)),
     SEQUENCE(18,1,0,0)
  )</f>
        <v>4</v>
      </c>
      <c r="AJ325" s="33">
        <f t="array" ref="AJ325:AJ342">IF(G325 &lt;&gt; "",
     SEQUENCE(18,1,1,0)*SUM(IF(E325:E342 = F325:F342, 1, 0)),
     SEQUENCE(18,1,0,0)
  )</f>
        <v>1</v>
      </c>
      <c r="AK325" s="33">
        <f t="array" ref="AK325:AK342">IF(SEQUENCE(18, 1), COUNTIF(B325:B342, 0))</f>
        <v>5</v>
      </c>
      <c r="AL325" s="33">
        <f t="array" ref="AL325:AL342">IF(SEQUENCE(18, 1), COUNTIF(D325:D342, 0))</f>
        <v>6</v>
      </c>
    </row>
    <row r="326">
      <c r="A326" s="20" t="str">
        <f>IFERROR(__xludf.DUMMYFUNCTION("""COMPUTED_VALUE"""),"Rosa")</f>
        <v>Rosa</v>
      </c>
      <c r="B326" s="8">
        <v>0.0</v>
      </c>
      <c r="C326" s="8" t="str">
        <f t="shared" si="98"/>
        <v>-</v>
      </c>
      <c r="D326" s="8">
        <v>0.0</v>
      </c>
      <c r="E326" s="21" t="s">
        <v>2</v>
      </c>
      <c r="F326" s="22" t="str">
        <f t="shared" si="99"/>
        <v>Oavgjort</v>
      </c>
      <c r="G326" s="22" t="str">
        <f t="shared" si="100"/>
        <v>Oavgjort</v>
      </c>
      <c r="H326" s="52" t="s">
        <v>25</v>
      </c>
      <c r="I326" s="9">
        <v>2.0</v>
      </c>
      <c r="J326" s="9">
        <v>0.0</v>
      </c>
      <c r="K326" s="24">
        <v>3.0</v>
      </c>
      <c r="L326" s="24">
        <v>2.0</v>
      </c>
      <c r="M326" s="53" t="s">
        <v>60</v>
      </c>
      <c r="N326" s="10">
        <v>0.0</v>
      </c>
      <c r="O326" s="10">
        <v>3.0</v>
      </c>
      <c r="P326" s="26">
        <v>2.0</v>
      </c>
      <c r="Q326" s="26">
        <v>3.0</v>
      </c>
      <c r="R326" s="55"/>
      <c r="S326" s="11">
        <v>0.0</v>
      </c>
      <c r="T326" s="11">
        <v>0.0</v>
      </c>
      <c r="U326" s="28">
        <v>0.0</v>
      </c>
      <c r="V326" s="28">
        <v>0.0</v>
      </c>
      <c r="W326" s="50"/>
      <c r="X326" s="30">
        <v>0.0</v>
      </c>
      <c r="Y326" s="30">
        <v>0.0</v>
      </c>
      <c r="Z326" s="31">
        <v>0.0</v>
      </c>
      <c r="AA326" s="31">
        <v>0.0</v>
      </c>
      <c r="AB326" s="32" t="s">
        <v>11</v>
      </c>
      <c r="AC326" s="32"/>
      <c r="AD326" s="13">
        <v>0.0</v>
      </c>
      <c r="AE326" s="13">
        <v>0.0</v>
      </c>
      <c r="AF326" s="13">
        <f t="shared" si="101"/>
        <v>1</v>
      </c>
      <c r="AG326" s="33">
        <f t="shared" si="102"/>
        <v>4</v>
      </c>
      <c r="AH326" s="33">
        <f t="shared" si="103"/>
        <v>5</v>
      </c>
      <c r="AI326" s="33">
        <v>4.0</v>
      </c>
      <c r="AJ326" s="33">
        <v>1.0</v>
      </c>
      <c r="AK326" s="33">
        <v>5.0</v>
      </c>
      <c r="AL326" s="33">
        <v>6.0</v>
      </c>
    </row>
    <row r="327">
      <c r="A327" s="20" t="str">
        <f>IFERROR(__xludf.DUMMYFUNCTION("""COMPUTED_VALUE"""),"Blå")</f>
        <v>Blå</v>
      </c>
      <c r="B327" s="8">
        <v>0.0</v>
      </c>
      <c r="C327" s="8" t="str">
        <f t="shared" si="98"/>
        <v>-</v>
      </c>
      <c r="D327" s="8">
        <v>0.0</v>
      </c>
      <c r="E327" s="21" t="s">
        <v>5</v>
      </c>
      <c r="F327" s="22" t="str">
        <f t="shared" si="99"/>
        <v>Oavgjort</v>
      </c>
      <c r="G327" s="22" t="str">
        <f t="shared" si="100"/>
        <v>Oavgjort</v>
      </c>
      <c r="H327" s="52" t="s">
        <v>36</v>
      </c>
      <c r="I327" s="9">
        <v>0.0</v>
      </c>
      <c r="J327" s="9">
        <v>4.0</v>
      </c>
      <c r="K327" s="24">
        <v>3.0</v>
      </c>
      <c r="L327" s="24">
        <v>2.0</v>
      </c>
      <c r="M327" s="53" t="s">
        <v>58</v>
      </c>
      <c r="N327" s="10">
        <v>2.0</v>
      </c>
      <c r="O327" s="10">
        <v>2.0</v>
      </c>
      <c r="P327" s="26">
        <v>2.0</v>
      </c>
      <c r="Q327" s="26">
        <v>3.0</v>
      </c>
      <c r="R327" s="55"/>
      <c r="S327" s="11">
        <v>0.0</v>
      </c>
      <c r="T327" s="11">
        <v>0.0</v>
      </c>
      <c r="U327" s="28">
        <v>0.0</v>
      </c>
      <c r="V327" s="28">
        <v>0.0</v>
      </c>
      <c r="W327" s="29"/>
      <c r="X327" s="30">
        <v>0.0</v>
      </c>
      <c r="Y327" s="30">
        <v>0.0</v>
      </c>
      <c r="Z327" s="31">
        <v>0.0</v>
      </c>
      <c r="AA327" s="31">
        <v>0.0</v>
      </c>
      <c r="AB327" s="34"/>
      <c r="AF327" s="13">
        <f t="shared" si="101"/>
        <v>0</v>
      </c>
      <c r="AG327" s="33">
        <f t="shared" si="102"/>
        <v>0</v>
      </c>
      <c r="AH327" s="33">
        <f t="shared" si="103"/>
        <v>0</v>
      </c>
      <c r="AI327" s="33">
        <v>4.0</v>
      </c>
      <c r="AJ327" s="33">
        <v>1.0</v>
      </c>
      <c r="AK327" s="33">
        <v>5.0</v>
      </c>
      <c r="AL327" s="33">
        <v>6.0</v>
      </c>
    </row>
    <row r="328">
      <c r="A328" s="20" t="str">
        <f>IFERROR(__xludf.DUMMYFUNCTION("""COMPUTED_VALUE"""),"Rosa")</f>
        <v>Rosa</v>
      </c>
      <c r="B328" s="8">
        <v>3.0</v>
      </c>
      <c r="C328" s="8" t="str">
        <f t="shared" si="98"/>
        <v>-</v>
      </c>
      <c r="D328" s="8">
        <v>2.0</v>
      </c>
      <c r="E328" s="21" t="s">
        <v>2</v>
      </c>
      <c r="F328" s="22" t="str">
        <f t="shared" si="99"/>
        <v>Rosa</v>
      </c>
      <c r="G328" s="22" t="str">
        <f t="shared" si="100"/>
        <v>Blå</v>
      </c>
      <c r="H328" s="23" t="s">
        <v>35</v>
      </c>
      <c r="I328" s="9">
        <v>1.0</v>
      </c>
      <c r="J328" s="9">
        <v>2.0</v>
      </c>
      <c r="K328" s="24">
        <v>3.0</v>
      </c>
      <c r="L328" s="24">
        <v>2.0</v>
      </c>
      <c r="M328" s="53" t="s">
        <v>67</v>
      </c>
      <c r="N328" s="10">
        <v>3.0</v>
      </c>
      <c r="O328" s="10">
        <v>2.0</v>
      </c>
      <c r="P328" s="26">
        <v>2.0</v>
      </c>
      <c r="Q328" s="26">
        <v>3.0</v>
      </c>
      <c r="R328" s="55"/>
      <c r="S328" s="11">
        <v>0.0</v>
      </c>
      <c r="T328" s="11">
        <v>0.0</v>
      </c>
      <c r="U328" s="28">
        <v>0.0</v>
      </c>
      <c r="V328" s="28">
        <v>0.0</v>
      </c>
      <c r="W328" s="29"/>
      <c r="X328" s="30">
        <v>0.0</v>
      </c>
      <c r="Y328" s="30">
        <v>0.0</v>
      </c>
      <c r="Z328" s="31">
        <v>0.0</v>
      </c>
      <c r="AA328" s="31">
        <v>0.0</v>
      </c>
      <c r="AF328" s="13">
        <f t="shared" si="101"/>
        <v>0</v>
      </c>
      <c r="AG328" s="33">
        <f t="shared" si="102"/>
        <v>0</v>
      </c>
      <c r="AH328" s="33">
        <f t="shared" si="103"/>
        <v>0</v>
      </c>
      <c r="AI328" s="33">
        <v>4.0</v>
      </c>
      <c r="AJ328" s="33">
        <v>1.0</v>
      </c>
      <c r="AK328" s="33">
        <v>5.0</v>
      </c>
      <c r="AL328" s="33">
        <v>6.0</v>
      </c>
    </row>
    <row r="329">
      <c r="A329" s="20" t="str">
        <f>IFERROR(__xludf.DUMMYFUNCTION("""COMPUTED_VALUE"""),"Blå")</f>
        <v>Blå</v>
      </c>
      <c r="B329" s="8">
        <v>2.0</v>
      </c>
      <c r="C329" s="8" t="str">
        <f t="shared" si="98"/>
        <v>-</v>
      </c>
      <c r="D329" s="8">
        <v>0.0</v>
      </c>
      <c r="E329" s="21" t="s">
        <v>5</v>
      </c>
      <c r="F329" s="22" t="str">
        <f t="shared" si="99"/>
        <v>Blå</v>
      </c>
      <c r="G329" s="22" t="str">
        <f t="shared" si="100"/>
        <v>Rosa</v>
      </c>
      <c r="H329" s="23" t="s">
        <v>41</v>
      </c>
      <c r="I329" s="9">
        <v>1.0</v>
      </c>
      <c r="J329" s="9">
        <v>0.0</v>
      </c>
      <c r="K329" s="24">
        <v>3.0</v>
      </c>
      <c r="L329" s="24">
        <v>2.0</v>
      </c>
      <c r="M329" s="25" t="s">
        <v>26</v>
      </c>
      <c r="N329" s="10">
        <v>2.0</v>
      </c>
      <c r="O329" s="10">
        <v>3.0</v>
      </c>
      <c r="P329" s="26">
        <v>2.0</v>
      </c>
      <c r="Q329" s="26">
        <v>3.0</v>
      </c>
      <c r="R329" s="27"/>
      <c r="S329" s="11">
        <v>0.0</v>
      </c>
      <c r="T329" s="11">
        <v>0.0</v>
      </c>
      <c r="U329" s="28">
        <v>0.0</v>
      </c>
      <c r="V329" s="28">
        <v>0.0</v>
      </c>
      <c r="W329" s="29"/>
      <c r="X329" s="30">
        <v>0.0</v>
      </c>
      <c r="Y329" s="30">
        <v>0.0</v>
      </c>
      <c r="Z329" s="31">
        <v>0.0</v>
      </c>
      <c r="AA329" s="31">
        <v>0.0</v>
      </c>
      <c r="AF329" s="13">
        <f t="shared" si="101"/>
        <v>0</v>
      </c>
      <c r="AG329" s="33">
        <f t="shared" si="102"/>
        <v>0</v>
      </c>
      <c r="AH329" s="33">
        <f t="shared" si="103"/>
        <v>0</v>
      </c>
      <c r="AI329" s="33">
        <v>4.0</v>
      </c>
      <c r="AJ329" s="33">
        <v>1.0</v>
      </c>
      <c r="AK329" s="33">
        <v>5.0</v>
      </c>
      <c r="AL329" s="33">
        <v>6.0</v>
      </c>
    </row>
    <row r="330">
      <c r="A330" s="20" t="str">
        <f>IFERROR(__xludf.DUMMYFUNCTION("""COMPUTED_VALUE"""),"Rosa")</f>
        <v>Rosa</v>
      </c>
      <c r="B330" s="8">
        <v>0.0</v>
      </c>
      <c r="C330" s="8" t="str">
        <f t="shared" si="98"/>
        <v>-</v>
      </c>
      <c r="D330" s="8">
        <v>1.0</v>
      </c>
      <c r="E330" s="21" t="s">
        <v>2</v>
      </c>
      <c r="F330" s="22" t="str">
        <f t="shared" si="99"/>
        <v>Blå</v>
      </c>
      <c r="G330" s="22" t="str">
        <f t="shared" si="100"/>
        <v>Rosa</v>
      </c>
      <c r="H330" s="38"/>
      <c r="I330" s="9">
        <v>0.0</v>
      </c>
      <c r="J330" s="9">
        <v>0.0</v>
      </c>
      <c r="K330" s="24">
        <v>3.0</v>
      </c>
      <c r="L330" s="24">
        <v>2.0</v>
      </c>
      <c r="M330" s="35"/>
      <c r="N330" s="10">
        <v>0.0</v>
      </c>
      <c r="O330" s="10">
        <v>0.0</v>
      </c>
      <c r="P330" s="26">
        <v>2.0</v>
      </c>
      <c r="Q330" s="26">
        <v>3.0</v>
      </c>
      <c r="R330" s="36"/>
      <c r="S330" s="11">
        <v>0.0</v>
      </c>
      <c r="T330" s="11">
        <v>0.0</v>
      </c>
      <c r="U330" s="28">
        <v>0.0</v>
      </c>
      <c r="V330" s="28">
        <v>0.0</v>
      </c>
      <c r="W330" s="29"/>
      <c r="X330" s="30">
        <v>0.0</v>
      </c>
      <c r="Y330" s="30">
        <v>0.0</v>
      </c>
      <c r="Z330" s="31">
        <v>0.0</v>
      </c>
      <c r="AA330" s="31">
        <v>0.0</v>
      </c>
      <c r="AF330" s="13">
        <f t="shared" si="101"/>
        <v>0</v>
      </c>
      <c r="AG330" s="33">
        <f t="shared" si="102"/>
        <v>0</v>
      </c>
      <c r="AH330" s="33">
        <f t="shared" si="103"/>
        <v>0</v>
      </c>
      <c r="AI330" s="33">
        <v>4.0</v>
      </c>
      <c r="AJ330" s="33">
        <v>1.0</v>
      </c>
      <c r="AK330" s="33">
        <v>5.0</v>
      </c>
      <c r="AL330" s="33">
        <v>6.0</v>
      </c>
    </row>
    <row r="331">
      <c r="A331" s="20" t="str">
        <f>IFERROR(__xludf.DUMMYFUNCTION("""COMPUTED_VALUE"""),"Blå")</f>
        <v>Blå</v>
      </c>
      <c r="B331" s="8">
        <v>1.0</v>
      </c>
      <c r="C331" s="8" t="str">
        <f t="shared" si="98"/>
        <v>-</v>
      </c>
      <c r="D331" s="8">
        <v>1.0</v>
      </c>
      <c r="E331" s="21" t="s">
        <v>5</v>
      </c>
      <c r="F331" s="22" t="str">
        <f t="shared" si="99"/>
        <v>Oavgjort</v>
      </c>
      <c r="G331" s="22" t="str">
        <f t="shared" si="100"/>
        <v>Oavgjort</v>
      </c>
      <c r="H331" s="23"/>
      <c r="I331" s="9">
        <v>0.0</v>
      </c>
      <c r="J331" s="9">
        <v>0.0</v>
      </c>
      <c r="K331" s="24">
        <v>3.0</v>
      </c>
      <c r="L331" s="24">
        <v>2.0</v>
      </c>
      <c r="M331" s="35"/>
      <c r="N331" s="10">
        <v>0.0</v>
      </c>
      <c r="O331" s="10">
        <v>0.0</v>
      </c>
      <c r="P331" s="26">
        <v>2.0</v>
      </c>
      <c r="Q331" s="26">
        <v>3.0</v>
      </c>
      <c r="R331" s="36"/>
      <c r="S331" s="11">
        <v>0.0</v>
      </c>
      <c r="T331" s="11">
        <v>0.0</v>
      </c>
      <c r="U331" s="28">
        <v>0.0</v>
      </c>
      <c r="V331" s="28">
        <v>0.0</v>
      </c>
      <c r="W331" s="29"/>
      <c r="X331" s="30">
        <v>0.0</v>
      </c>
      <c r="Y331" s="30">
        <v>0.0</v>
      </c>
      <c r="Z331" s="31">
        <v>0.0</v>
      </c>
      <c r="AA331" s="31">
        <v>0.0</v>
      </c>
      <c r="AF331" s="13">
        <f t="shared" si="101"/>
        <v>0</v>
      </c>
      <c r="AG331" s="33">
        <f t="shared" si="102"/>
        <v>0</v>
      </c>
      <c r="AH331" s="33">
        <f t="shared" si="103"/>
        <v>0</v>
      </c>
      <c r="AI331" s="33">
        <v>4.0</v>
      </c>
      <c r="AJ331" s="33">
        <v>1.0</v>
      </c>
      <c r="AK331" s="33">
        <v>5.0</v>
      </c>
      <c r="AL331" s="33">
        <v>6.0</v>
      </c>
    </row>
    <row r="332">
      <c r="A332" s="20" t="str">
        <f>IFERROR(__xludf.DUMMYFUNCTION("""COMPUTED_VALUE"""),"Rosa")</f>
        <v>Rosa</v>
      </c>
      <c r="B332" s="8">
        <v>7.0</v>
      </c>
      <c r="C332" s="8" t="str">
        <f t="shared" si="98"/>
        <v>-</v>
      </c>
      <c r="D332" s="8">
        <v>1.0</v>
      </c>
      <c r="E332" s="21" t="s">
        <v>2</v>
      </c>
      <c r="F332" s="22" t="str">
        <f t="shared" si="99"/>
        <v>Rosa</v>
      </c>
      <c r="G332" s="22" t="str">
        <f t="shared" si="100"/>
        <v>Blå</v>
      </c>
      <c r="H332" s="38"/>
      <c r="K332" s="24">
        <v>3.0</v>
      </c>
      <c r="L332" s="24">
        <v>2.0</v>
      </c>
      <c r="M332" s="35"/>
      <c r="P332" s="26">
        <v>2.0</v>
      </c>
      <c r="Q332" s="26">
        <v>3.0</v>
      </c>
      <c r="R332" s="36"/>
      <c r="U332" s="28">
        <v>0.0</v>
      </c>
      <c r="V332" s="28">
        <v>0.0</v>
      </c>
      <c r="W332" s="37"/>
      <c r="Z332" s="31">
        <v>0.0</v>
      </c>
      <c r="AA332" s="31">
        <v>0.0</v>
      </c>
      <c r="AF332" s="13">
        <f t="shared" si="101"/>
        <v>0</v>
      </c>
      <c r="AG332" s="33">
        <f t="shared" si="102"/>
        <v>0</v>
      </c>
      <c r="AH332" s="33">
        <f t="shared" si="103"/>
        <v>0</v>
      </c>
      <c r="AI332" s="33">
        <v>4.0</v>
      </c>
      <c r="AJ332" s="33">
        <v>1.0</v>
      </c>
      <c r="AK332" s="33">
        <v>5.0</v>
      </c>
      <c r="AL332" s="33">
        <v>6.0</v>
      </c>
    </row>
    <row r="333">
      <c r="A333" s="20" t="str">
        <f>IFERROR(__xludf.DUMMYFUNCTION("""COMPUTED_VALUE"""),"Blå")</f>
        <v>Blå</v>
      </c>
      <c r="B333" s="8">
        <v>1.0</v>
      </c>
      <c r="C333" s="8" t="str">
        <f t="shared" si="98"/>
        <v>-</v>
      </c>
      <c r="D333" s="8">
        <v>1.0</v>
      </c>
      <c r="E333" s="21" t="s">
        <v>5</v>
      </c>
      <c r="F333" s="22" t="str">
        <f t="shared" si="99"/>
        <v>Oavgjort</v>
      </c>
      <c r="G333" s="22" t="str">
        <f t="shared" si="100"/>
        <v>Oavgjort</v>
      </c>
      <c r="K333" s="24">
        <v>3.0</v>
      </c>
      <c r="L333" s="24">
        <v>2.0</v>
      </c>
      <c r="P333" s="26">
        <v>2.0</v>
      </c>
      <c r="Q333" s="26">
        <v>3.0</v>
      </c>
      <c r="U333" s="28">
        <v>0.0</v>
      </c>
      <c r="V333" s="28">
        <v>0.0</v>
      </c>
      <c r="Z333" s="31">
        <v>0.0</v>
      </c>
      <c r="AA333" s="31">
        <v>0.0</v>
      </c>
      <c r="AF333" s="13">
        <f t="shared" si="101"/>
        <v>0</v>
      </c>
      <c r="AG333" s="33">
        <f t="shared" si="102"/>
        <v>0</v>
      </c>
      <c r="AH333" s="33">
        <f t="shared" si="103"/>
        <v>0</v>
      </c>
      <c r="AI333" s="33">
        <v>4.0</v>
      </c>
      <c r="AJ333" s="33">
        <v>1.0</v>
      </c>
      <c r="AK333" s="33">
        <v>5.0</v>
      </c>
      <c r="AL333" s="33">
        <v>6.0</v>
      </c>
    </row>
    <row r="334">
      <c r="A334" s="20" t="str">
        <f>IFERROR(__xludf.DUMMYFUNCTION("""COMPUTED_VALUE"""),"Rosa")</f>
        <v>Rosa</v>
      </c>
      <c r="B334" s="8">
        <v>0.0</v>
      </c>
      <c r="C334" s="8" t="str">
        <f t="shared" si="98"/>
        <v>-</v>
      </c>
      <c r="D334" s="8">
        <v>0.0</v>
      </c>
      <c r="E334" s="21" t="s">
        <v>2</v>
      </c>
      <c r="F334" s="22" t="str">
        <f t="shared" si="99"/>
        <v>Oavgjort</v>
      </c>
      <c r="G334" s="22" t="str">
        <f t="shared" si="100"/>
        <v>Oavgjort</v>
      </c>
      <c r="K334" s="24">
        <v>3.0</v>
      </c>
      <c r="L334" s="24">
        <v>2.0</v>
      </c>
      <c r="P334" s="26">
        <v>2.0</v>
      </c>
      <c r="Q334" s="26">
        <v>3.0</v>
      </c>
      <c r="U334" s="28">
        <v>0.0</v>
      </c>
      <c r="V334" s="28">
        <v>0.0</v>
      </c>
      <c r="Z334" s="31">
        <v>0.0</v>
      </c>
      <c r="AA334" s="31">
        <v>0.0</v>
      </c>
      <c r="AF334" s="13">
        <f t="shared" si="101"/>
        <v>0</v>
      </c>
      <c r="AG334" s="33">
        <f t="shared" si="102"/>
        <v>0</v>
      </c>
      <c r="AH334" s="33">
        <f t="shared" si="103"/>
        <v>0</v>
      </c>
      <c r="AI334" s="33">
        <v>4.0</v>
      </c>
      <c r="AJ334" s="33">
        <v>1.0</v>
      </c>
      <c r="AK334" s="33">
        <v>5.0</v>
      </c>
      <c r="AL334" s="33">
        <v>6.0</v>
      </c>
    </row>
    <row r="335">
      <c r="A335" s="20" t="str">
        <f>IFERROR(__xludf.DUMMYFUNCTION("""COMPUTED_VALUE"""),"Blå")</f>
        <v>Blå</v>
      </c>
      <c r="B335" s="8">
        <v>1.0</v>
      </c>
      <c r="C335" s="8" t="str">
        <f t="shared" si="98"/>
        <v>-</v>
      </c>
      <c r="D335" s="8">
        <v>0.0</v>
      </c>
      <c r="E335" s="21" t="s">
        <v>5</v>
      </c>
      <c r="F335" s="22" t="str">
        <f t="shared" si="99"/>
        <v>Blå</v>
      </c>
      <c r="G335" s="22" t="str">
        <f t="shared" si="100"/>
        <v>Rosa</v>
      </c>
      <c r="K335" s="24">
        <v>3.0</v>
      </c>
      <c r="L335" s="24">
        <v>2.0</v>
      </c>
      <c r="P335" s="26">
        <v>2.0</v>
      </c>
      <c r="Q335" s="26">
        <v>3.0</v>
      </c>
      <c r="U335" s="28">
        <v>0.0</v>
      </c>
      <c r="V335" s="28">
        <v>0.0</v>
      </c>
      <c r="Z335" s="31">
        <v>0.0</v>
      </c>
      <c r="AA335" s="31">
        <v>0.0</v>
      </c>
      <c r="AF335" s="13">
        <f t="shared" si="101"/>
        <v>0</v>
      </c>
      <c r="AG335" s="33">
        <f t="shared" si="102"/>
        <v>0</v>
      </c>
      <c r="AH335" s="33">
        <f t="shared" si="103"/>
        <v>0</v>
      </c>
      <c r="AI335" s="33">
        <v>4.0</v>
      </c>
      <c r="AJ335" s="33">
        <v>1.0</v>
      </c>
      <c r="AK335" s="33">
        <v>5.0</v>
      </c>
      <c r="AL335" s="33">
        <v>6.0</v>
      </c>
    </row>
    <row r="336">
      <c r="A336" s="20" t="str">
        <f>IFERROR(__xludf.DUMMYFUNCTION("""COMPUTED_VALUE"""),"Rosa")</f>
        <v>Rosa</v>
      </c>
      <c r="B336" s="8"/>
      <c r="C336" s="8" t="str">
        <f t="shared" si="98"/>
        <v>-</v>
      </c>
      <c r="D336" s="8"/>
      <c r="E336" s="21" t="s">
        <v>2</v>
      </c>
      <c r="F336" s="22" t="str">
        <f t="shared" si="99"/>
        <v/>
      </c>
      <c r="G336" s="22" t="str">
        <f t="shared" si="100"/>
        <v/>
      </c>
      <c r="K336" s="24">
        <v>3.0</v>
      </c>
      <c r="L336" s="24">
        <v>2.0</v>
      </c>
      <c r="P336" s="26">
        <v>2.0</v>
      </c>
      <c r="Q336" s="26">
        <v>3.0</v>
      </c>
      <c r="U336" s="28">
        <v>0.0</v>
      </c>
      <c r="V336" s="28">
        <v>0.0</v>
      </c>
      <c r="Z336" s="31">
        <v>0.0</v>
      </c>
      <c r="AA336" s="31">
        <v>0.0</v>
      </c>
      <c r="AF336" s="13">
        <f t="shared" si="101"/>
        <v>0</v>
      </c>
      <c r="AG336" s="33">
        <f t="shared" si="102"/>
        <v>0</v>
      </c>
      <c r="AH336" s="33">
        <f t="shared" si="103"/>
        <v>0</v>
      </c>
      <c r="AI336" s="33">
        <v>4.0</v>
      </c>
      <c r="AJ336" s="33">
        <v>1.0</v>
      </c>
      <c r="AK336" s="33">
        <v>5.0</v>
      </c>
      <c r="AL336" s="33">
        <v>6.0</v>
      </c>
    </row>
    <row r="337">
      <c r="A337" s="20" t="str">
        <f>IFERROR(__xludf.DUMMYFUNCTION("""COMPUTED_VALUE"""),"Blå")</f>
        <v>Blå</v>
      </c>
      <c r="B337" s="8"/>
      <c r="C337" s="8" t="str">
        <f t="shared" si="98"/>
        <v>-</v>
      </c>
      <c r="D337" s="8"/>
      <c r="E337" s="21" t="s">
        <v>5</v>
      </c>
      <c r="F337" s="22" t="str">
        <f t="shared" si="99"/>
        <v/>
      </c>
      <c r="G337" s="22" t="str">
        <f t="shared" si="100"/>
        <v/>
      </c>
      <c r="K337" s="24">
        <v>3.0</v>
      </c>
      <c r="L337" s="24">
        <v>2.0</v>
      </c>
      <c r="P337" s="26">
        <v>2.0</v>
      </c>
      <c r="Q337" s="26">
        <v>3.0</v>
      </c>
      <c r="U337" s="28">
        <v>0.0</v>
      </c>
      <c r="V337" s="28">
        <v>0.0</v>
      </c>
      <c r="Z337" s="31">
        <v>0.0</v>
      </c>
      <c r="AA337" s="31">
        <v>0.0</v>
      </c>
      <c r="AF337" s="13">
        <f t="shared" si="101"/>
        <v>0</v>
      </c>
      <c r="AG337" s="33">
        <f t="shared" si="102"/>
        <v>0</v>
      </c>
      <c r="AH337" s="33">
        <f t="shared" si="103"/>
        <v>0</v>
      </c>
      <c r="AI337" s="33">
        <v>4.0</v>
      </c>
      <c r="AJ337" s="33">
        <v>1.0</v>
      </c>
      <c r="AK337" s="33">
        <v>5.0</v>
      </c>
      <c r="AL337" s="33">
        <v>6.0</v>
      </c>
    </row>
    <row r="338">
      <c r="A338" s="20" t="str">
        <f>IFERROR(__xludf.DUMMYFUNCTION("""COMPUTED_VALUE"""),"Rosa")</f>
        <v>Rosa</v>
      </c>
      <c r="B338" s="8"/>
      <c r="C338" s="8" t="str">
        <f t="shared" si="98"/>
        <v>-</v>
      </c>
      <c r="D338" s="8"/>
      <c r="E338" s="21" t="s">
        <v>2</v>
      </c>
      <c r="F338" s="22" t="str">
        <f t="shared" si="99"/>
        <v/>
      </c>
      <c r="G338" s="22" t="str">
        <f t="shared" si="100"/>
        <v/>
      </c>
      <c r="K338" s="24">
        <v>3.0</v>
      </c>
      <c r="L338" s="24">
        <v>2.0</v>
      </c>
      <c r="P338" s="26">
        <v>2.0</v>
      </c>
      <c r="Q338" s="26">
        <v>3.0</v>
      </c>
      <c r="U338" s="28">
        <v>0.0</v>
      </c>
      <c r="V338" s="28">
        <v>0.0</v>
      </c>
      <c r="Z338" s="31">
        <v>0.0</v>
      </c>
      <c r="AA338" s="31">
        <v>0.0</v>
      </c>
      <c r="AF338" s="13">
        <f t="shared" si="101"/>
        <v>0</v>
      </c>
      <c r="AG338" s="33">
        <f t="shared" si="102"/>
        <v>0</v>
      </c>
      <c r="AH338" s="33">
        <f t="shared" si="103"/>
        <v>0</v>
      </c>
      <c r="AI338" s="33">
        <v>4.0</v>
      </c>
      <c r="AJ338" s="33">
        <v>1.0</v>
      </c>
      <c r="AK338" s="33">
        <v>5.0</v>
      </c>
      <c r="AL338" s="33">
        <v>6.0</v>
      </c>
    </row>
    <row r="339">
      <c r="A339" s="20" t="str">
        <f>IFERROR(__xludf.DUMMYFUNCTION("""COMPUTED_VALUE"""),"Blå")</f>
        <v>Blå</v>
      </c>
      <c r="B339" s="8"/>
      <c r="C339" s="8" t="str">
        <f t="shared" si="98"/>
        <v>-</v>
      </c>
      <c r="D339" s="8"/>
      <c r="E339" s="21" t="s">
        <v>5</v>
      </c>
      <c r="F339" s="22" t="str">
        <f t="shared" si="99"/>
        <v/>
      </c>
      <c r="G339" s="22" t="str">
        <f t="shared" si="100"/>
        <v/>
      </c>
      <c r="K339" s="24">
        <v>3.0</v>
      </c>
      <c r="L339" s="24">
        <v>2.0</v>
      </c>
      <c r="P339" s="26">
        <v>2.0</v>
      </c>
      <c r="Q339" s="26">
        <v>3.0</v>
      </c>
      <c r="U339" s="28">
        <v>0.0</v>
      </c>
      <c r="V339" s="28">
        <v>0.0</v>
      </c>
      <c r="Z339" s="31">
        <v>0.0</v>
      </c>
      <c r="AA339" s="31">
        <v>0.0</v>
      </c>
      <c r="AF339" s="13">
        <f t="shared" si="101"/>
        <v>0</v>
      </c>
      <c r="AG339" s="33">
        <f t="shared" si="102"/>
        <v>0</v>
      </c>
      <c r="AH339" s="33">
        <f t="shared" si="103"/>
        <v>0</v>
      </c>
      <c r="AI339" s="33">
        <v>4.0</v>
      </c>
      <c r="AJ339" s="33">
        <v>1.0</v>
      </c>
      <c r="AK339" s="33">
        <v>5.0</v>
      </c>
      <c r="AL339" s="33">
        <v>6.0</v>
      </c>
    </row>
    <row r="340">
      <c r="A340" s="20" t="str">
        <f>IFERROR(__xludf.DUMMYFUNCTION("""COMPUTED_VALUE"""),"Rosa")</f>
        <v>Rosa</v>
      </c>
      <c r="B340" s="8"/>
      <c r="C340" s="8" t="str">
        <f t="shared" si="98"/>
        <v>-</v>
      </c>
      <c r="D340" s="22"/>
      <c r="E340" s="21" t="s">
        <v>2</v>
      </c>
      <c r="F340" s="22" t="str">
        <f t="shared" si="99"/>
        <v/>
      </c>
      <c r="G340" s="22" t="str">
        <f t="shared" si="100"/>
        <v/>
      </c>
      <c r="K340" s="24">
        <v>3.0</v>
      </c>
      <c r="L340" s="24">
        <v>2.0</v>
      </c>
      <c r="P340" s="26">
        <v>2.0</v>
      </c>
      <c r="Q340" s="26">
        <v>3.0</v>
      </c>
      <c r="U340" s="28">
        <v>0.0</v>
      </c>
      <c r="V340" s="28">
        <v>0.0</v>
      </c>
      <c r="Z340" s="31">
        <v>0.0</v>
      </c>
      <c r="AA340" s="31">
        <v>0.0</v>
      </c>
      <c r="AF340" s="13">
        <f t="shared" si="101"/>
        <v>0</v>
      </c>
      <c r="AG340" s="33">
        <f t="shared" si="102"/>
        <v>0</v>
      </c>
      <c r="AH340" s="33">
        <f t="shared" si="103"/>
        <v>0</v>
      </c>
      <c r="AI340" s="33">
        <v>4.0</v>
      </c>
      <c r="AJ340" s="33">
        <v>1.0</v>
      </c>
      <c r="AK340" s="33">
        <v>5.0</v>
      </c>
      <c r="AL340" s="33">
        <v>6.0</v>
      </c>
    </row>
    <row r="341">
      <c r="A341" s="39" t="str">
        <f>IFERROR(__xludf.DUMMYFUNCTION("""COMPUTED_VALUE"""),"Blå")</f>
        <v>Blå</v>
      </c>
      <c r="B341" s="8"/>
      <c r="C341" s="8" t="str">
        <f t="shared" si="98"/>
        <v>-</v>
      </c>
      <c r="D341" s="8"/>
      <c r="E341" s="46" t="s">
        <v>5</v>
      </c>
      <c r="F341" s="22" t="str">
        <f t="shared" si="99"/>
        <v/>
      </c>
      <c r="G341" s="22" t="str">
        <f t="shared" si="100"/>
        <v/>
      </c>
      <c r="K341" s="24">
        <v>3.0</v>
      </c>
      <c r="L341" s="24">
        <v>2.0</v>
      </c>
      <c r="P341" s="26">
        <v>2.0</v>
      </c>
      <c r="Q341" s="26">
        <v>3.0</v>
      </c>
      <c r="U341" s="28">
        <v>0.0</v>
      </c>
      <c r="V341" s="28">
        <v>0.0</v>
      </c>
      <c r="Z341" s="31">
        <v>0.0</v>
      </c>
      <c r="AA341" s="31">
        <v>0.0</v>
      </c>
      <c r="AF341" s="13">
        <f t="shared" si="101"/>
        <v>0</v>
      </c>
      <c r="AG341" s="33">
        <f t="shared" si="102"/>
        <v>0</v>
      </c>
      <c r="AH341" s="33">
        <f t="shared" si="103"/>
        <v>0</v>
      </c>
      <c r="AI341" s="33">
        <v>4.0</v>
      </c>
      <c r="AJ341" s="33">
        <v>1.0</v>
      </c>
      <c r="AK341" s="33">
        <v>5.0</v>
      </c>
      <c r="AL341" s="33">
        <v>6.0</v>
      </c>
    </row>
    <row r="342">
      <c r="A342" s="39" t="str">
        <f>IFERROR(__xludf.DUMMYFUNCTION("""COMPUTED_VALUE"""),"Rosa")</f>
        <v>Rosa</v>
      </c>
      <c r="B342" s="22"/>
      <c r="C342" s="8" t="str">
        <f t="shared" si="98"/>
        <v>-</v>
      </c>
      <c r="D342" s="22"/>
      <c r="E342" s="46" t="s">
        <v>2</v>
      </c>
      <c r="F342" s="22"/>
      <c r="G342" s="22"/>
      <c r="K342" s="24">
        <v>3.0</v>
      </c>
      <c r="L342" s="24">
        <v>2.0</v>
      </c>
      <c r="P342" s="26">
        <v>2.0</v>
      </c>
      <c r="Q342" s="26">
        <v>3.0</v>
      </c>
      <c r="U342" s="28">
        <v>0.0</v>
      </c>
      <c r="V342" s="28">
        <v>0.0</v>
      </c>
      <c r="Z342" s="31">
        <v>0.0</v>
      </c>
      <c r="AA342" s="31">
        <v>0.0</v>
      </c>
      <c r="AF342" s="13">
        <f t="shared" si="101"/>
        <v>0</v>
      </c>
      <c r="AG342" s="33">
        <f t="shared" si="102"/>
        <v>0</v>
      </c>
      <c r="AH342" s="33">
        <f t="shared" si="103"/>
        <v>0</v>
      </c>
      <c r="AI342" s="33">
        <v>4.0</v>
      </c>
      <c r="AJ342" s="33">
        <v>1.0</v>
      </c>
      <c r="AK342" s="33">
        <v>5.0</v>
      </c>
      <c r="AL342" s="33">
        <v>6.0</v>
      </c>
    </row>
    <row r="343">
      <c r="A343" s="39"/>
      <c r="AH343" s="39"/>
      <c r="AI343" s="39"/>
      <c r="AJ343" s="39"/>
      <c r="AK343" s="39"/>
      <c r="AL343" s="39"/>
    </row>
    <row r="344">
      <c r="A344" s="40" t="str">
        <f>IFERROR(__xludf.DUMMYFUNCTION("""Gameweek "" &amp; (VALUE(REGEXEXTRACT(A324, ""Gameweek (\d+)"")) + 1)"),"Gameweek 18")</f>
        <v>Gameweek 18</v>
      </c>
      <c r="F344" s="40"/>
      <c r="G344" s="40"/>
      <c r="H344" s="41" t="str">
        <f>A344</f>
        <v>Gameweek 18</v>
      </c>
      <c r="K344" s="15" t="s">
        <v>21</v>
      </c>
      <c r="L344" s="15" t="s">
        <v>22</v>
      </c>
      <c r="M344" s="42" t="str">
        <f>A344</f>
        <v>Gameweek 18</v>
      </c>
      <c r="P344" s="16" t="s">
        <v>21</v>
      </c>
      <c r="Q344" s="16" t="s">
        <v>22</v>
      </c>
      <c r="R344" s="43" t="str">
        <f>A344</f>
        <v>Gameweek 18</v>
      </c>
      <c r="U344" s="17" t="s">
        <v>21</v>
      </c>
      <c r="V344" s="17" t="s">
        <v>22</v>
      </c>
      <c r="W344" s="44" t="str">
        <f>A344</f>
        <v>Gameweek 18</v>
      </c>
      <c r="Z344" s="18" t="s">
        <v>21</v>
      </c>
      <c r="AA344" s="18" t="s">
        <v>22</v>
      </c>
      <c r="AB344" s="45" t="str">
        <f>A344</f>
        <v>Gameweek 18</v>
      </c>
      <c r="AF344" s="19" t="s">
        <v>21</v>
      </c>
      <c r="AG344" s="19" t="s">
        <v>22</v>
      </c>
      <c r="AH344" s="19" t="s">
        <v>17</v>
      </c>
      <c r="AI344" s="19" t="s">
        <v>23</v>
      </c>
    </row>
    <row r="345">
      <c r="A345" s="47" t="str">
        <f>IFERROR(__xludf.DUMMYFUNCTION("IFERROR(ARRAYFORMULA(FLATTEN(SPLIT(REPT(TEXTJOIN("","", TRUE, FILTER({H$2, M$2, R$2}, {H345, M345, R345} &lt;&gt; """")) &amp; "","", CEILING(18 / COUNTA(FILTER({H$2, M$2, R$2}, {H345, M345, R345} &lt;&gt; """")))), "",""))), """")
"),"Blå")</f>
        <v>Blå</v>
      </c>
      <c r="B345" s="8">
        <v>0.0</v>
      </c>
      <c r="C345" s="8" t="str">
        <f t="shared" ref="C345:C362" si="104">IF(ISBLANK(A345), "", "-")
</f>
        <v>-</v>
      </c>
      <c r="D345" s="8">
        <v>1.0</v>
      </c>
      <c r="E345" s="48" t="str">
        <f t="array" ref="E345:E362">{A362; A345:A361}</f>
        <v>Grön</v>
      </c>
      <c r="F345" s="22" t="str">
        <f t="shared" ref="F345:F361" si="105">IF(AND(B345 &lt;&gt; "", D345 &lt;&gt; ""), IF(B345 &gt; D345, A345, IF(D345 &gt; B345, E345, "Oavgjort")), "")</f>
        <v>Grön</v>
      </c>
      <c r="G345" s="22" t="str">
        <f t="shared" ref="G345:G361" si="106">IF(AND(B345 &lt;&gt; "", D345 &lt;&gt; ""), IF(B345 &lt; D345, A345, IF(D345 &lt; B345, E345, "Oavgjort")), "")
</f>
        <v>Blå</v>
      </c>
      <c r="H345" s="52" t="s">
        <v>24</v>
      </c>
      <c r="I345" s="9">
        <v>3.0</v>
      </c>
      <c r="J345" s="9">
        <v>5.0</v>
      </c>
      <c r="K345" s="24">
        <f t="array" ref="K345:K362">IF(SEQUENCE(18, 1), COUNTIF(F345:F362, $H$2))
</f>
        <v>3</v>
      </c>
      <c r="L345" s="24">
        <f t="array" ref="L345:L362">IF(SEQUENCE(18, 1), COUNTIF(G345:G362, $H$2))
</f>
        <v>5</v>
      </c>
      <c r="M345" s="53" t="s">
        <v>55</v>
      </c>
      <c r="N345" s="10">
        <v>5.0</v>
      </c>
      <c r="O345" s="10">
        <v>4.0</v>
      </c>
      <c r="P345" s="26">
        <f t="array" ref="P345:P362">IF(SEQUENCE(18, 1), COUNTIF(F345:F362, $M$2))
</f>
        <v>2</v>
      </c>
      <c r="Q345" s="26">
        <f t="array" ref="Q345:Q362">IF(SEQUENCE(18, 1), COUNTIF(G345:G362, $M$2))
</f>
        <v>2</v>
      </c>
      <c r="R345" s="54" t="s">
        <v>41</v>
      </c>
      <c r="S345" s="11">
        <v>8.0</v>
      </c>
      <c r="T345" s="11">
        <v>5.0</v>
      </c>
      <c r="U345" s="28">
        <f t="array" ref="U345:U362">IF(SEQUENCE(18, 1), COUNTIF(F345:F362, $R$2))
</f>
        <v>4</v>
      </c>
      <c r="V345" s="28">
        <f t="array" ref="V345:V362">IF(SEQUENCE(18, 1), COUNTIF(G345:G362, $R$2))
</f>
        <v>2</v>
      </c>
      <c r="W345" s="50" t="s">
        <v>40</v>
      </c>
      <c r="X345" s="30">
        <v>0.0</v>
      </c>
      <c r="Y345" s="30">
        <v>3.0</v>
      </c>
      <c r="Z345" s="31">
        <f t="array" ref="Z345:Z362">IF(SEQUENCE(18, 1), COUNTIF(F345:F362, $W$2))
</f>
        <v>0</v>
      </c>
      <c r="AA345" s="31">
        <f t="array" ref="AA345:AA362">IF(SEQUENCE(18, 1), COUNTIF(G345:G362, $W$2))
</f>
        <v>0</v>
      </c>
      <c r="AB345" s="32" t="s">
        <v>9</v>
      </c>
      <c r="AC345" s="32"/>
      <c r="AD345" s="13">
        <v>0.0</v>
      </c>
      <c r="AE345" s="13">
        <v>0.0</v>
      </c>
      <c r="AF345" s="13">
        <f t="shared" ref="AF345:AF362" si="107">IF(AB345 = "Borta", AJ345, (IF(AB345 = "Hemma", AI345, 0)))</f>
        <v>5</v>
      </c>
      <c r="AG345" s="33">
        <f t="shared" ref="AG345:AG362" si="108">IF(AB345 = "Hemma", AJ345, (IF(AB345 = "Borta", AI345, 0)))</f>
        <v>4</v>
      </c>
      <c r="AH345" s="33">
        <f t="shared" ref="AH345:AH362" si="109">IF(AB345 = "Borta", AK345, (IF(AB345 = "Hemma", AL345, 0)))</f>
        <v>5</v>
      </c>
      <c r="AI345" s="33">
        <f t="array" ref="AI345:AI362">IF(F345 &lt;&gt; "",
     SEQUENCE(18,1,1,0)*SUM(IF(A345:A362 = F345:F362, 1, 0)),
     SEQUENCE(18,1,0,0)
  )</f>
        <v>5</v>
      </c>
      <c r="AJ345" s="33">
        <f t="array" ref="AJ345:AJ362">IF(G345 &lt;&gt; "",
     SEQUENCE(18,1,1,0)*SUM(IF(E345:E362 = F345:F362, 1, 0)),
     SEQUENCE(18,1,0,0)
  )</f>
        <v>4</v>
      </c>
      <c r="AK345" s="33">
        <f t="array" ref="AK345:AK362">IF(SEQUENCE(18, 1), COUNTIF(B345:B362, 0))</f>
        <v>2</v>
      </c>
      <c r="AL345" s="33">
        <f t="array" ref="AL345:AL362">IF(SEQUENCE(18, 1), COUNTIF(D345:D362, 0))</f>
        <v>5</v>
      </c>
    </row>
    <row r="346">
      <c r="A346" s="20" t="str">
        <f>IFERROR(__xludf.DUMMYFUNCTION("""COMPUTED_VALUE"""),"Rosa")</f>
        <v>Rosa</v>
      </c>
      <c r="B346" s="8">
        <v>1.0</v>
      </c>
      <c r="C346" s="8" t="str">
        <f t="shared" si="104"/>
        <v>-</v>
      </c>
      <c r="D346" s="8">
        <v>1.0</v>
      </c>
      <c r="E346" s="21" t="s">
        <v>2</v>
      </c>
      <c r="F346" s="22" t="str">
        <f t="shared" si="105"/>
        <v>Oavgjort</v>
      </c>
      <c r="G346" s="22" t="str">
        <f t="shared" si="106"/>
        <v>Oavgjort</v>
      </c>
      <c r="H346" s="52" t="s">
        <v>58</v>
      </c>
      <c r="I346" s="9">
        <v>4.0</v>
      </c>
      <c r="J346" s="9">
        <v>1.0</v>
      </c>
      <c r="K346" s="24">
        <v>3.0</v>
      </c>
      <c r="L346" s="24">
        <v>5.0</v>
      </c>
      <c r="M346" s="53" t="s">
        <v>33</v>
      </c>
      <c r="N346" s="10">
        <v>3.0</v>
      </c>
      <c r="O346" s="10">
        <v>4.0</v>
      </c>
      <c r="P346" s="26">
        <v>2.0</v>
      </c>
      <c r="Q346" s="26">
        <v>2.0</v>
      </c>
      <c r="R346" s="54" t="s">
        <v>35</v>
      </c>
      <c r="S346" s="11">
        <v>3.0</v>
      </c>
      <c r="T346" s="11">
        <v>2.0</v>
      </c>
      <c r="U346" s="28">
        <v>4.0</v>
      </c>
      <c r="V346" s="28">
        <v>2.0</v>
      </c>
      <c r="W346" s="50"/>
      <c r="X346" s="30">
        <v>0.0</v>
      </c>
      <c r="Y346" s="30">
        <v>0.0</v>
      </c>
      <c r="Z346" s="31">
        <v>0.0</v>
      </c>
      <c r="AA346" s="31">
        <v>0.0</v>
      </c>
      <c r="AB346" s="32" t="s">
        <v>11</v>
      </c>
      <c r="AC346" s="32" t="s">
        <v>42</v>
      </c>
      <c r="AD346" s="13">
        <v>0.0</v>
      </c>
      <c r="AE346" s="13">
        <v>1.0</v>
      </c>
      <c r="AF346" s="13">
        <f t="shared" si="107"/>
        <v>4</v>
      </c>
      <c r="AG346" s="33">
        <f t="shared" si="108"/>
        <v>5</v>
      </c>
      <c r="AH346" s="33">
        <f t="shared" si="109"/>
        <v>2</v>
      </c>
      <c r="AI346" s="33">
        <v>5.0</v>
      </c>
      <c r="AJ346" s="33">
        <v>4.0</v>
      </c>
      <c r="AK346" s="33">
        <v>2.0</v>
      </c>
      <c r="AL346" s="33">
        <v>5.0</v>
      </c>
    </row>
    <row r="347">
      <c r="A347" s="20" t="str">
        <f>IFERROR(__xludf.DUMMYFUNCTION("""COMPUTED_VALUE"""),"Grön")</f>
        <v>Grön</v>
      </c>
      <c r="B347" s="8">
        <v>2.0</v>
      </c>
      <c r="C347" s="8" t="str">
        <f t="shared" si="104"/>
        <v>-</v>
      </c>
      <c r="D347" s="8">
        <v>1.0</v>
      </c>
      <c r="E347" s="21" t="s">
        <v>5</v>
      </c>
      <c r="F347" s="22" t="str">
        <f t="shared" si="105"/>
        <v>Grön</v>
      </c>
      <c r="G347" s="22" t="str">
        <f t="shared" si="106"/>
        <v>Rosa</v>
      </c>
      <c r="H347" s="52" t="s">
        <v>59</v>
      </c>
      <c r="I347" s="9">
        <v>1.0</v>
      </c>
      <c r="J347" s="9">
        <v>0.0</v>
      </c>
      <c r="K347" s="24">
        <v>3.0</v>
      </c>
      <c r="L347" s="24">
        <v>5.0</v>
      </c>
      <c r="M347" s="53" t="s">
        <v>29</v>
      </c>
      <c r="N347" s="10">
        <v>1.0</v>
      </c>
      <c r="O347" s="10">
        <v>2.0</v>
      </c>
      <c r="P347" s="26">
        <v>2.0</v>
      </c>
      <c r="Q347" s="26">
        <v>2.0</v>
      </c>
      <c r="R347" s="54" t="s">
        <v>34</v>
      </c>
      <c r="S347" s="11">
        <v>1.0</v>
      </c>
      <c r="T347" s="11">
        <v>1.0</v>
      </c>
      <c r="U347" s="28">
        <v>4.0</v>
      </c>
      <c r="V347" s="28">
        <v>2.0</v>
      </c>
      <c r="W347" s="29"/>
      <c r="X347" s="30">
        <v>0.0</v>
      </c>
      <c r="Y347" s="30">
        <v>0.0</v>
      </c>
      <c r="Z347" s="31">
        <v>0.0</v>
      </c>
      <c r="AA347" s="31">
        <v>0.0</v>
      </c>
      <c r="AB347" s="34"/>
      <c r="AF347" s="13">
        <f t="shared" si="107"/>
        <v>0</v>
      </c>
      <c r="AG347" s="33">
        <f t="shared" si="108"/>
        <v>0</v>
      </c>
      <c r="AH347" s="33">
        <f t="shared" si="109"/>
        <v>0</v>
      </c>
      <c r="AI347" s="33">
        <v>5.0</v>
      </c>
      <c r="AJ347" s="33">
        <v>4.0</v>
      </c>
      <c r="AK347" s="33">
        <v>2.0</v>
      </c>
      <c r="AL347" s="33">
        <v>5.0</v>
      </c>
    </row>
    <row r="348">
      <c r="A348" s="20" t="str">
        <f>IFERROR(__xludf.DUMMYFUNCTION("""COMPUTED_VALUE"""),"Blå")</f>
        <v>Blå</v>
      </c>
      <c r="B348" s="8">
        <v>1.0</v>
      </c>
      <c r="C348" s="8" t="str">
        <f t="shared" si="104"/>
        <v>-</v>
      </c>
      <c r="D348" s="8">
        <v>0.0</v>
      </c>
      <c r="E348" s="21" t="s">
        <v>6</v>
      </c>
      <c r="F348" s="22" t="str">
        <f t="shared" si="105"/>
        <v>Blå</v>
      </c>
      <c r="G348" s="22" t="str">
        <f t="shared" si="106"/>
        <v>Grön</v>
      </c>
      <c r="H348" s="23" t="s">
        <v>75</v>
      </c>
      <c r="I348" s="9">
        <v>0.0</v>
      </c>
      <c r="J348" s="9">
        <v>0.0</v>
      </c>
      <c r="K348" s="24">
        <v>3.0</v>
      </c>
      <c r="L348" s="24">
        <v>5.0</v>
      </c>
      <c r="M348" s="53" t="s">
        <v>66</v>
      </c>
      <c r="N348" s="10">
        <v>3.0</v>
      </c>
      <c r="O348" s="10">
        <v>0.0</v>
      </c>
      <c r="P348" s="26">
        <v>2.0</v>
      </c>
      <c r="Q348" s="26">
        <v>2.0</v>
      </c>
      <c r="R348" s="54" t="s">
        <v>76</v>
      </c>
      <c r="S348" s="11">
        <v>5.0</v>
      </c>
      <c r="T348" s="11">
        <v>0.0</v>
      </c>
      <c r="U348" s="28">
        <v>4.0</v>
      </c>
      <c r="V348" s="28">
        <v>2.0</v>
      </c>
      <c r="W348" s="29"/>
      <c r="X348" s="30">
        <v>0.0</v>
      </c>
      <c r="Y348" s="30">
        <v>0.0</v>
      </c>
      <c r="Z348" s="31">
        <v>0.0</v>
      </c>
      <c r="AA348" s="31">
        <v>0.0</v>
      </c>
      <c r="AF348" s="13">
        <f t="shared" si="107"/>
        <v>0</v>
      </c>
      <c r="AG348" s="33">
        <f t="shared" si="108"/>
        <v>0</v>
      </c>
      <c r="AH348" s="33">
        <f t="shared" si="109"/>
        <v>0</v>
      </c>
      <c r="AI348" s="33">
        <v>5.0</v>
      </c>
      <c r="AJ348" s="33">
        <v>4.0</v>
      </c>
      <c r="AK348" s="33">
        <v>2.0</v>
      </c>
      <c r="AL348" s="33">
        <v>5.0</v>
      </c>
    </row>
    <row r="349">
      <c r="A349" s="20" t="str">
        <f>IFERROR(__xludf.DUMMYFUNCTION("""COMPUTED_VALUE"""),"Rosa")</f>
        <v>Rosa</v>
      </c>
      <c r="B349" s="8">
        <v>0.0</v>
      </c>
      <c r="C349" s="8" t="str">
        <f t="shared" si="104"/>
        <v>-</v>
      </c>
      <c r="D349" s="8">
        <v>0.0</v>
      </c>
      <c r="E349" s="21" t="s">
        <v>2</v>
      </c>
      <c r="F349" s="22" t="str">
        <f t="shared" si="105"/>
        <v>Oavgjort</v>
      </c>
      <c r="G349" s="22" t="str">
        <f t="shared" si="106"/>
        <v>Oavgjort</v>
      </c>
      <c r="H349" s="38"/>
      <c r="I349" s="9">
        <v>0.0</v>
      </c>
      <c r="J349" s="9">
        <v>0.0</v>
      </c>
      <c r="K349" s="24">
        <v>3.0</v>
      </c>
      <c r="L349" s="24">
        <v>5.0</v>
      </c>
      <c r="M349" s="35"/>
      <c r="N349" s="10">
        <v>0.0</v>
      </c>
      <c r="O349" s="10">
        <v>0.0</v>
      </c>
      <c r="P349" s="26">
        <v>2.0</v>
      </c>
      <c r="Q349" s="26">
        <v>2.0</v>
      </c>
      <c r="R349" s="27"/>
      <c r="S349" s="11">
        <v>0.0</v>
      </c>
      <c r="T349" s="11">
        <v>0.0</v>
      </c>
      <c r="U349" s="28">
        <v>4.0</v>
      </c>
      <c r="V349" s="28">
        <v>2.0</v>
      </c>
      <c r="W349" s="29"/>
      <c r="X349" s="30">
        <v>0.0</v>
      </c>
      <c r="Y349" s="30">
        <v>0.0</v>
      </c>
      <c r="Z349" s="31">
        <v>0.0</v>
      </c>
      <c r="AA349" s="31">
        <v>0.0</v>
      </c>
      <c r="AF349" s="13">
        <f t="shared" si="107"/>
        <v>0</v>
      </c>
      <c r="AG349" s="33">
        <f t="shared" si="108"/>
        <v>0</v>
      </c>
      <c r="AH349" s="33">
        <f t="shared" si="109"/>
        <v>0</v>
      </c>
      <c r="AI349" s="33">
        <v>5.0</v>
      </c>
      <c r="AJ349" s="33">
        <v>4.0</v>
      </c>
      <c r="AK349" s="33">
        <v>2.0</v>
      </c>
      <c r="AL349" s="33">
        <v>5.0</v>
      </c>
    </row>
    <row r="350">
      <c r="A350" s="20" t="str">
        <f>IFERROR(__xludf.DUMMYFUNCTION("""COMPUTED_VALUE"""),"Grön")</f>
        <v>Grön</v>
      </c>
      <c r="B350" s="8">
        <v>2.0</v>
      </c>
      <c r="C350" s="8" t="str">
        <f t="shared" si="104"/>
        <v>-</v>
      </c>
      <c r="D350" s="8">
        <v>2.0</v>
      </c>
      <c r="E350" s="21" t="s">
        <v>5</v>
      </c>
      <c r="F350" s="22" t="str">
        <f t="shared" si="105"/>
        <v>Oavgjort</v>
      </c>
      <c r="G350" s="22" t="str">
        <f t="shared" si="106"/>
        <v>Oavgjort</v>
      </c>
      <c r="H350" s="38"/>
      <c r="I350" s="9">
        <v>0.0</v>
      </c>
      <c r="J350" s="9">
        <v>0.0</v>
      </c>
      <c r="K350" s="24">
        <v>3.0</v>
      </c>
      <c r="L350" s="24">
        <v>5.0</v>
      </c>
      <c r="M350" s="35"/>
      <c r="N350" s="10">
        <v>0.0</v>
      </c>
      <c r="O350" s="10">
        <v>0.0</v>
      </c>
      <c r="P350" s="26">
        <v>2.0</v>
      </c>
      <c r="Q350" s="26">
        <v>2.0</v>
      </c>
      <c r="R350" s="36"/>
      <c r="S350" s="11">
        <v>0.0</v>
      </c>
      <c r="T350" s="11">
        <v>0.0</v>
      </c>
      <c r="U350" s="28">
        <v>4.0</v>
      </c>
      <c r="V350" s="28">
        <v>2.0</v>
      </c>
      <c r="W350" s="29"/>
      <c r="X350" s="30">
        <v>0.0</v>
      </c>
      <c r="Y350" s="30">
        <v>0.0</v>
      </c>
      <c r="Z350" s="31">
        <v>0.0</v>
      </c>
      <c r="AA350" s="31">
        <v>0.0</v>
      </c>
      <c r="AF350" s="13">
        <f t="shared" si="107"/>
        <v>0</v>
      </c>
      <c r="AG350" s="33">
        <f t="shared" si="108"/>
        <v>0</v>
      </c>
      <c r="AH350" s="33">
        <f t="shared" si="109"/>
        <v>0</v>
      </c>
      <c r="AI350" s="33">
        <v>5.0</v>
      </c>
      <c r="AJ350" s="33">
        <v>4.0</v>
      </c>
      <c r="AK350" s="33">
        <v>2.0</v>
      </c>
      <c r="AL350" s="33">
        <v>5.0</v>
      </c>
    </row>
    <row r="351">
      <c r="A351" s="20" t="str">
        <f>IFERROR(__xludf.DUMMYFUNCTION("""COMPUTED_VALUE"""),"Blå")</f>
        <v>Blå</v>
      </c>
      <c r="B351" s="8">
        <v>2.0</v>
      </c>
      <c r="C351" s="8" t="str">
        <f t="shared" si="104"/>
        <v>-</v>
      </c>
      <c r="D351" s="8">
        <v>0.0</v>
      </c>
      <c r="E351" s="21" t="s">
        <v>6</v>
      </c>
      <c r="F351" s="22" t="str">
        <f t="shared" si="105"/>
        <v>Blå</v>
      </c>
      <c r="G351" s="22" t="str">
        <f t="shared" si="106"/>
        <v>Grön</v>
      </c>
      <c r="H351" s="23"/>
      <c r="I351" s="9">
        <v>0.0</v>
      </c>
      <c r="J351" s="9">
        <v>0.0</v>
      </c>
      <c r="K351" s="24">
        <v>3.0</v>
      </c>
      <c r="L351" s="24">
        <v>5.0</v>
      </c>
      <c r="M351" s="35"/>
      <c r="N351" s="10">
        <v>0.0</v>
      </c>
      <c r="O351" s="10">
        <v>0.0</v>
      </c>
      <c r="P351" s="26">
        <v>2.0</v>
      </c>
      <c r="Q351" s="26">
        <v>2.0</v>
      </c>
      <c r="R351" s="36"/>
      <c r="S351" s="11">
        <v>0.0</v>
      </c>
      <c r="T351" s="11">
        <v>0.0</v>
      </c>
      <c r="U351" s="28">
        <v>4.0</v>
      </c>
      <c r="V351" s="28">
        <v>2.0</v>
      </c>
      <c r="W351" s="29"/>
      <c r="X351" s="30">
        <v>0.0</v>
      </c>
      <c r="Y351" s="30">
        <v>0.0</v>
      </c>
      <c r="Z351" s="31">
        <v>0.0</v>
      </c>
      <c r="AA351" s="31">
        <v>0.0</v>
      </c>
      <c r="AF351" s="13">
        <f t="shared" si="107"/>
        <v>0</v>
      </c>
      <c r="AG351" s="33">
        <f t="shared" si="108"/>
        <v>0</v>
      </c>
      <c r="AH351" s="33">
        <f t="shared" si="109"/>
        <v>0</v>
      </c>
      <c r="AI351" s="33">
        <v>5.0</v>
      </c>
      <c r="AJ351" s="33">
        <v>4.0</v>
      </c>
      <c r="AK351" s="33">
        <v>2.0</v>
      </c>
      <c r="AL351" s="33">
        <v>5.0</v>
      </c>
    </row>
    <row r="352">
      <c r="A352" s="20" t="str">
        <f>IFERROR(__xludf.DUMMYFUNCTION("""COMPUTED_VALUE"""),"Rosa")</f>
        <v>Rosa</v>
      </c>
      <c r="B352" s="8">
        <v>2.0</v>
      </c>
      <c r="C352" s="8" t="str">
        <f t="shared" si="104"/>
        <v>-</v>
      </c>
      <c r="D352" s="8">
        <v>0.0</v>
      </c>
      <c r="E352" s="21" t="s">
        <v>2</v>
      </c>
      <c r="F352" s="22" t="str">
        <f t="shared" si="105"/>
        <v>Rosa</v>
      </c>
      <c r="G352" s="22" t="str">
        <f t="shared" si="106"/>
        <v>Blå</v>
      </c>
      <c r="H352" s="38"/>
      <c r="K352" s="24">
        <v>3.0</v>
      </c>
      <c r="L352" s="24">
        <v>5.0</v>
      </c>
      <c r="M352" s="35"/>
      <c r="P352" s="26">
        <v>2.0</v>
      </c>
      <c r="Q352" s="26">
        <v>2.0</v>
      </c>
      <c r="R352" s="36"/>
      <c r="U352" s="28">
        <v>4.0</v>
      </c>
      <c r="V352" s="28">
        <v>2.0</v>
      </c>
      <c r="W352" s="37"/>
      <c r="Z352" s="31">
        <v>0.0</v>
      </c>
      <c r="AA352" s="31">
        <v>0.0</v>
      </c>
      <c r="AF352" s="13">
        <f t="shared" si="107"/>
        <v>0</v>
      </c>
      <c r="AG352" s="33">
        <f t="shared" si="108"/>
        <v>0</v>
      </c>
      <c r="AH352" s="33">
        <f t="shared" si="109"/>
        <v>0</v>
      </c>
      <c r="AI352" s="33">
        <v>5.0</v>
      </c>
      <c r="AJ352" s="33">
        <v>4.0</v>
      </c>
      <c r="AK352" s="33">
        <v>2.0</v>
      </c>
      <c r="AL352" s="33">
        <v>5.0</v>
      </c>
    </row>
    <row r="353">
      <c r="A353" s="20" t="str">
        <f>IFERROR(__xludf.DUMMYFUNCTION("""COMPUTED_VALUE"""),"Grön")</f>
        <v>Grön</v>
      </c>
      <c r="B353" s="8">
        <v>1.0</v>
      </c>
      <c r="C353" s="8" t="str">
        <f t="shared" si="104"/>
        <v>-</v>
      </c>
      <c r="D353" s="8">
        <v>1.0</v>
      </c>
      <c r="E353" s="21" t="s">
        <v>5</v>
      </c>
      <c r="F353" s="22" t="str">
        <f t="shared" si="105"/>
        <v>Oavgjort</v>
      </c>
      <c r="G353" s="22" t="str">
        <f t="shared" si="106"/>
        <v>Oavgjort</v>
      </c>
      <c r="K353" s="24">
        <v>3.0</v>
      </c>
      <c r="L353" s="24">
        <v>5.0</v>
      </c>
      <c r="P353" s="26">
        <v>2.0</v>
      </c>
      <c r="Q353" s="26">
        <v>2.0</v>
      </c>
      <c r="U353" s="28">
        <v>4.0</v>
      </c>
      <c r="V353" s="28">
        <v>2.0</v>
      </c>
      <c r="Z353" s="31">
        <v>0.0</v>
      </c>
      <c r="AA353" s="31">
        <v>0.0</v>
      </c>
      <c r="AF353" s="13">
        <f t="shared" si="107"/>
        <v>0</v>
      </c>
      <c r="AG353" s="33">
        <f t="shared" si="108"/>
        <v>0</v>
      </c>
      <c r="AH353" s="33">
        <f t="shared" si="109"/>
        <v>0</v>
      </c>
      <c r="AI353" s="33">
        <v>5.0</v>
      </c>
      <c r="AJ353" s="33">
        <v>4.0</v>
      </c>
      <c r="AK353" s="33">
        <v>2.0</v>
      </c>
      <c r="AL353" s="33">
        <v>5.0</v>
      </c>
    </row>
    <row r="354">
      <c r="A354" s="20" t="str">
        <f>IFERROR(__xludf.DUMMYFUNCTION("""COMPUTED_VALUE"""),"Blå")</f>
        <v>Blå</v>
      </c>
      <c r="B354" s="8">
        <v>1.0</v>
      </c>
      <c r="C354" s="8" t="str">
        <f t="shared" si="104"/>
        <v>-</v>
      </c>
      <c r="D354" s="8">
        <v>2.0</v>
      </c>
      <c r="E354" s="21" t="s">
        <v>6</v>
      </c>
      <c r="F354" s="22" t="str">
        <f t="shared" si="105"/>
        <v>Grön</v>
      </c>
      <c r="G354" s="22" t="str">
        <f t="shared" si="106"/>
        <v>Blå</v>
      </c>
      <c r="K354" s="24">
        <v>3.0</v>
      </c>
      <c r="L354" s="24">
        <v>5.0</v>
      </c>
      <c r="P354" s="26">
        <v>2.0</v>
      </c>
      <c r="Q354" s="26">
        <v>2.0</v>
      </c>
      <c r="U354" s="28">
        <v>4.0</v>
      </c>
      <c r="V354" s="28">
        <v>2.0</v>
      </c>
      <c r="Z354" s="31">
        <v>0.0</v>
      </c>
      <c r="AA354" s="31">
        <v>0.0</v>
      </c>
      <c r="AF354" s="13">
        <f t="shared" si="107"/>
        <v>0</v>
      </c>
      <c r="AG354" s="33">
        <f t="shared" si="108"/>
        <v>0</v>
      </c>
      <c r="AH354" s="33">
        <f t="shared" si="109"/>
        <v>0</v>
      </c>
      <c r="AI354" s="33">
        <v>5.0</v>
      </c>
      <c r="AJ354" s="33">
        <v>4.0</v>
      </c>
      <c r="AK354" s="33">
        <v>2.0</v>
      </c>
      <c r="AL354" s="33">
        <v>5.0</v>
      </c>
    </row>
    <row r="355">
      <c r="A355" s="20" t="str">
        <f>IFERROR(__xludf.DUMMYFUNCTION("""COMPUTED_VALUE"""),"Rosa")</f>
        <v>Rosa</v>
      </c>
      <c r="B355" s="8">
        <v>3.0</v>
      </c>
      <c r="C355" s="8" t="str">
        <f t="shared" si="104"/>
        <v>-</v>
      </c>
      <c r="D355" s="8">
        <v>0.0</v>
      </c>
      <c r="E355" s="21" t="s">
        <v>2</v>
      </c>
      <c r="F355" s="22" t="str">
        <f t="shared" si="105"/>
        <v>Rosa</v>
      </c>
      <c r="G355" s="22" t="str">
        <f t="shared" si="106"/>
        <v>Blå</v>
      </c>
      <c r="K355" s="24">
        <v>3.0</v>
      </c>
      <c r="L355" s="24">
        <v>5.0</v>
      </c>
      <c r="P355" s="26">
        <v>2.0</v>
      </c>
      <c r="Q355" s="26">
        <v>2.0</v>
      </c>
      <c r="U355" s="28">
        <v>4.0</v>
      </c>
      <c r="V355" s="28">
        <v>2.0</v>
      </c>
      <c r="Z355" s="31">
        <v>0.0</v>
      </c>
      <c r="AA355" s="31">
        <v>0.0</v>
      </c>
      <c r="AF355" s="13">
        <f t="shared" si="107"/>
        <v>0</v>
      </c>
      <c r="AG355" s="33">
        <f t="shared" si="108"/>
        <v>0</v>
      </c>
      <c r="AH355" s="33">
        <f t="shared" si="109"/>
        <v>0</v>
      </c>
      <c r="AI355" s="33">
        <v>5.0</v>
      </c>
      <c r="AJ355" s="33">
        <v>4.0</v>
      </c>
      <c r="AK355" s="33">
        <v>2.0</v>
      </c>
      <c r="AL355" s="33">
        <v>5.0</v>
      </c>
    </row>
    <row r="356">
      <c r="A356" s="20" t="str">
        <f>IFERROR(__xludf.DUMMYFUNCTION("""COMPUTED_VALUE"""),"Grön")</f>
        <v>Grön</v>
      </c>
      <c r="B356" s="8">
        <v>2.0</v>
      </c>
      <c r="C356" s="8" t="str">
        <f t="shared" si="104"/>
        <v>-</v>
      </c>
      <c r="D356" s="8">
        <v>2.0</v>
      </c>
      <c r="E356" s="21" t="s">
        <v>5</v>
      </c>
      <c r="F356" s="22" t="str">
        <f t="shared" si="105"/>
        <v>Oavgjort</v>
      </c>
      <c r="G356" s="22" t="str">
        <f t="shared" si="106"/>
        <v>Oavgjort</v>
      </c>
      <c r="K356" s="24">
        <v>3.0</v>
      </c>
      <c r="L356" s="24">
        <v>5.0</v>
      </c>
      <c r="P356" s="26">
        <v>2.0</v>
      </c>
      <c r="Q356" s="26">
        <v>2.0</v>
      </c>
      <c r="U356" s="28">
        <v>4.0</v>
      </c>
      <c r="V356" s="28">
        <v>2.0</v>
      </c>
      <c r="Z356" s="31">
        <v>0.0</v>
      </c>
      <c r="AA356" s="31">
        <v>0.0</v>
      </c>
      <c r="AF356" s="13">
        <f t="shared" si="107"/>
        <v>0</v>
      </c>
      <c r="AG356" s="33">
        <f t="shared" si="108"/>
        <v>0</v>
      </c>
      <c r="AH356" s="33">
        <f t="shared" si="109"/>
        <v>0</v>
      </c>
      <c r="AI356" s="33">
        <v>5.0</v>
      </c>
      <c r="AJ356" s="33">
        <v>4.0</v>
      </c>
      <c r="AK356" s="33">
        <v>2.0</v>
      </c>
      <c r="AL356" s="33">
        <v>5.0</v>
      </c>
    </row>
    <row r="357">
      <c r="A357" s="20" t="str">
        <f>IFERROR(__xludf.DUMMYFUNCTION("""COMPUTED_VALUE"""),"Blå")</f>
        <v>Blå</v>
      </c>
      <c r="B357" s="8">
        <v>2.0</v>
      </c>
      <c r="C357" s="8" t="str">
        <f t="shared" si="104"/>
        <v>-</v>
      </c>
      <c r="D357" s="8">
        <v>4.0</v>
      </c>
      <c r="E357" s="21" t="s">
        <v>6</v>
      </c>
      <c r="F357" s="22" t="str">
        <f t="shared" si="105"/>
        <v>Grön</v>
      </c>
      <c r="G357" s="22" t="str">
        <f t="shared" si="106"/>
        <v>Blå</v>
      </c>
      <c r="K357" s="24">
        <v>3.0</v>
      </c>
      <c r="L357" s="24">
        <v>5.0</v>
      </c>
      <c r="P357" s="26">
        <v>2.0</v>
      </c>
      <c r="Q357" s="26">
        <v>2.0</v>
      </c>
      <c r="U357" s="28">
        <v>4.0</v>
      </c>
      <c r="V357" s="28">
        <v>2.0</v>
      </c>
      <c r="Z357" s="31">
        <v>0.0</v>
      </c>
      <c r="AA357" s="31">
        <v>0.0</v>
      </c>
      <c r="AF357" s="13">
        <f t="shared" si="107"/>
        <v>0</v>
      </c>
      <c r="AG357" s="33">
        <f t="shared" si="108"/>
        <v>0</v>
      </c>
      <c r="AH357" s="33">
        <f t="shared" si="109"/>
        <v>0</v>
      </c>
      <c r="AI357" s="33">
        <v>5.0</v>
      </c>
      <c r="AJ357" s="33">
        <v>4.0</v>
      </c>
      <c r="AK357" s="33">
        <v>2.0</v>
      </c>
      <c r="AL357" s="33">
        <v>5.0</v>
      </c>
    </row>
    <row r="358">
      <c r="A358" s="20" t="str">
        <f>IFERROR(__xludf.DUMMYFUNCTION("""COMPUTED_VALUE"""),"Rosa")</f>
        <v>Rosa</v>
      </c>
      <c r="B358" s="8">
        <v>2.0</v>
      </c>
      <c r="C358" s="8" t="str">
        <f t="shared" si="104"/>
        <v>-</v>
      </c>
      <c r="D358" s="8">
        <v>3.0</v>
      </c>
      <c r="E358" s="21" t="s">
        <v>2</v>
      </c>
      <c r="F358" s="22" t="str">
        <f t="shared" si="105"/>
        <v>Blå</v>
      </c>
      <c r="G358" s="22" t="str">
        <f t="shared" si="106"/>
        <v>Rosa</v>
      </c>
      <c r="K358" s="24">
        <v>3.0</v>
      </c>
      <c r="L358" s="24">
        <v>5.0</v>
      </c>
      <c r="P358" s="26">
        <v>2.0</v>
      </c>
      <c r="Q358" s="26">
        <v>2.0</v>
      </c>
      <c r="U358" s="28">
        <v>4.0</v>
      </c>
      <c r="V358" s="28">
        <v>2.0</v>
      </c>
      <c r="Z358" s="31">
        <v>0.0</v>
      </c>
      <c r="AA358" s="31">
        <v>0.0</v>
      </c>
      <c r="AF358" s="13">
        <f t="shared" si="107"/>
        <v>0</v>
      </c>
      <c r="AG358" s="33">
        <f t="shared" si="108"/>
        <v>0</v>
      </c>
      <c r="AH358" s="33">
        <f t="shared" si="109"/>
        <v>0</v>
      </c>
      <c r="AI358" s="33">
        <v>5.0</v>
      </c>
      <c r="AJ358" s="33">
        <v>4.0</v>
      </c>
      <c r="AK358" s="33">
        <v>2.0</v>
      </c>
      <c r="AL358" s="33">
        <v>5.0</v>
      </c>
    </row>
    <row r="359">
      <c r="A359" s="20" t="str">
        <f>IFERROR(__xludf.DUMMYFUNCTION("""COMPUTED_VALUE"""),"Grön")</f>
        <v>Grön</v>
      </c>
      <c r="B359" s="8"/>
      <c r="C359" s="8" t="str">
        <f t="shared" si="104"/>
        <v>-</v>
      </c>
      <c r="D359" s="8"/>
      <c r="E359" s="21" t="s">
        <v>5</v>
      </c>
      <c r="F359" s="22" t="str">
        <f t="shared" si="105"/>
        <v/>
      </c>
      <c r="G359" s="22" t="str">
        <f t="shared" si="106"/>
        <v/>
      </c>
      <c r="K359" s="24">
        <v>3.0</v>
      </c>
      <c r="L359" s="24">
        <v>5.0</v>
      </c>
      <c r="P359" s="26">
        <v>2.0</v>
      </c>
      <c r="Q359" s="26">
        <v>2.0</v>
      </c>
      <c r="U359" s="28">
        <v>4.0</v>
      </c>
      <c r="V359" s="28">
        <v>2.0</v>
      </c>
      <c r="Z359" s="31">
        <v>0.0</v>
      </c>
      <c r="AA359" s="31">
        <v>0.0</v>
      </c>
      <c r="AF359" s="13">
        <f t="shared" si="107"/>
        <v>0</v>
      </c>
      <c r="AG359" s="33">
        <f t="shared" si="108"/>
        <v>0</v>
      </c>
      <c r="AH359" s="33">
        <f t="shared" si="109"/>
        <v>0</v>
      </c>
      <c r="AI359" s="33">
        <v>5.0</v>
      </c>
      <c r="AJ359" s="33">
        <v>4.0</v>
      </c>
      <c r="AK359" s="33">
        <v>2.0</v>
      </c>
      <c r="AL359" s="33">
        <v>5.0</v>
      </c>
    </row>
    <row r="360">
      <c r="A360" s="20" t="str">
        <f>IFERROR(__xludf.DUMMYFUNCTION("""COMPUTED_VALUE"""),"Blå")</f>
        <v>Blå</v>
      </c>
      <c r="B360" s="8"/>
      <c r="C360" s="8" t="str">
        <f t="shared" si="104"/>
        <v>-</v>
      </c>
      <c r="D360" s="22"/>
      <c r="E360" s="21" t="s">
        <v>6</v>
      </c>
      <c r="F360" s="22" t="str">
        <f t="shared" si="105"/>
        <v/>
      </c>
      <c r="G360" s="22" t="str">
        <f t="shared" si="106"/>
        <v/>
      </c>
      <c r="K360" s="24">
        <v>3.0</v>
      </c>
      <c r="L360" s="24">
        <v>5.0</v>
      </c>
      <c r="P360" s="26">
        <v>2.0</v>
      </c>
      <c r="Q360" s="26">
        <v>2.0</v>
      </c>
      <c r="U360" s="28">
        <v>4.0</v>
      </c>
      <c r="V360" s="28">
        <v>2.0</v>
      </c>
      <c r="Z360" s="31">
        <v>0.0</v>
      </c>
      <c r="AA360" s="31">
        <v>0.0</v>
      </c>
      <c r="AF360" s="13">
        <f t="shared" si="107"/>
        <v>0</v>
      </c>
      <c r="AG360" s="33">
        <f t="shared" si="108"/>
        <v>0</v>
      </c>
      <c r="AH360" s="33">
        <f t="shared" si="109"/>
        <v>0</v>
      </c>
      <c r="AI360" s="33">
        <v>5.0</v>
      </c>
      <c r="AJ360" s="33">
        <v>4.0</v>
      </c>
      <c r="AK360" s="33">
        <v>2.0</v>
      </c>
      <c r="AL360" s="33">
        <v>5.0</v>
      </c>
    </row>
    <row r="361">
      <c r="A361" s="39" t="str">
        <f>IFERROR(__xludf.DUMMYFUNCTION("""COMPUTED_VALUE"""),"Rosa")</f>
        <v>Rosa</v>
      </c>
      <c r="B361" s="8"/>
      <c r="C361" s="8" t="str">
        <f t="shared" si="104"/>
        <v>-</v>
      </c>
      <c r="D361" s="8"/>
      <c r="E361" s="46" t="s">
        <v>2</v>
      </c>
      <c r="F361" s="22" t="str">
        <f t="shared" si="105"/>
        <v/>
      </c>
      <c r="G361" s="22" t="str">
        <f t="shared" si="106"/>
        <v/>
      </c>
      <c r="K361" s="24">
        <v>3.0</v>
      </c>
      <c r="L361" s="24">
        <v>5.0</v>
      </c>
      <c r="P361" s="26">
        <v>2.0</v>
      </c>
      <c r="Q361" s="26">
        <v>2.0</v>
      </c>
      <c r="U361" s="28">
        <v>4.0</v>
      </c>
      <c r="V361" s="28">
        <v>2.0</v>
      </c>
      <c r="Z361" s="31">
        <v>0.0</v>
      </c>
      <c r="AA361" s="31">
        <v>0.0</v>
      </c>
      <c r="AF361" s="13">
        <f t="shared" si="107"/>
        <v>0</v>
      </c>
      <c r="AG361" s="33">
        <f t="shared" si="108"/>
        <v>0</v>
      </c>
      <c r="AH361" s="33">
        <f t="shared" si="109"/>
        <v>0</v>
      </c>
      <c r="AI361" s="33">
        <v>5.0</v>
      </c>
      <c r="AJ361" s="33">
        <v>4.0</v>
      </c>
      <c r="AK361" s="33">
        <v>2.0</v>
      </c>
      <c r="AL361" s="33">
        <v>5.0</v>
      </c>
    </row>
    <row r="362">
      <c r="A362" s="39" t="str">
        <f>IFERROR(__xludf.DUMMYFUNCTION("""COMPUTED_VALUE"""),"Grön")</f>
        <v>Grön</v>
      </c>
      <c r="B362" s="22"/>
      <c r="C362" s="8" t="str">
        <f t="shared" si="104"/>
        <v>-</v>
      </c>
      <c r="D362" s="22"/>
      <c r="E362" s="46" t="s">
        <v>5</v>
      </c>
      <c r="F362" s="22"/>
      <c r="G362" s="22"/>
      <c r="K362" s="24">
        <v>3.0</v>
      </c>
      <c r="L362" s="24">
        <v>5.0</v>
      </c>
      <c r="P362" s="26">
        <v>2.0</v>
      </c>
      <c r="Q362" s="26">
        <v>2.0</v>
      </c>
      <c r="U362" s="28">
        <v>4.0</v>
      </c>
      <c r="V362" s="28">
        <v>2.0</v>
      </c>
      <c r="Z362" s="31">
        <v>0.0</v>
      </c>
      <c r="AA362" s="31">
        <v>0.0</v>
      </c>
      <c r="AF362" s="13">
        <f t="shared" si="107"/>
        <v>0</v>
      </c>
      <c r="AG362" s="33">
        <f t="shared" si="108"/>
        <v>0</v>
      </c>
      <c r="AH362" s="33">
        <f t="shared" si="109"/>
        <v>0</v>
      </c>
      <c r="AI362" s="33">
        <v>5.0</v>
      </c>
      <c r="AJ362" s="33">
        <v>4.0</v>
      </c>
      <c r="AK362" s="33">
        <v>2.0</v>
      </c>
      <c r="AL362" s="33">
        <v>5.0</v>
      </c>
    </row>
  </sheetData>
  <mergeCells count="239">
    <mergeCell ref="R4:T4"/>
    <mergeCell ref="W4:Y4"/>
    <mergeCell ref="AB4:AE4"/>
    <mergeCell ref="AI4:AL4"/>
    <mergeCell ref="AB7:AE22"/>
    <mergeCell ref="W10:Y22"/>
    <mergeCell ref="AB27:AE42"/>
    <mergeCell ref="W32:Y42"/>
    <mergeCell ref="AB47:AE62"/>
    <mergeCell ref="W52:Y62"/>
    <mergeCell ref="A1:AL1"/>
    <mergeCell ref="A2:G2"/>
    <mergeCell ref="W2:AA2"/>
    <mergeCell ref="AB2:AC2"/>
    <mergeCell ref="B3:D3"/>
    <mergeCell ref="AB3:AC3"/>
    <mergeCell ref="A4:E4"/>
    <mergeCell ref="R24:T24"/>
    <mergeCell ref="W24:Y24"/>
    <mergeCell ref="AI24:AL24"/>
    <mergeCell ref="H4:J4"/>
    <mergeCell ref="M4:O4"/>
    <mergeCell ref="M10:O22"/>
    <mergeCell ref="R10:T22"/>
    <mergeCell ref="H11:J22"/>
    <mergeCell ref="A23:AG23"/>
    <mergeCell ref="A24:E24"/>
    <mergeCell ref="AB24:AE24"/>
    <mergeCell ref="R44:T44"/>
    <mergeCell ref="W44:Y44"/>
    <mergeCell ref="AI44:AL44"/>
    <mergeCell ref="H64:J64"/>
    <mergeCell ref="M64:O64"/>
    <mergeCell ref="AI64:AL64"/>
    <mergeCell ref="A123:AG123"/>
    <mergeCell ref="H124:J124"/>
    <mergeCell ref="M124:O124"/>
    <mergeCell ref="R124:T124"/>
    <mergeCell ref="W124:Y124"/>
    <mergeCell ref="AB124:AE124"/>
    <mergeCell ref="AI124:AL124"/>
    <mergeCell ref="A124:E124"/>
    <mergeCell ref="A143:AG143"/>
    <mergeCell ref="A144:E144"/>
    <mergeCell ref="H144:J144"/>
    <mergeCell ref="M144:O144"/>
    <mergeCell ref="R144:T144"/>
    <mergeCell ref="W144:Y144"/>
    <mergeCell ref="H24:J24"/>
    <mergeCell ref="M24:O24"/>
    <mergeCell ref="H32:J42"/>
    <mergeCell ref="M32:O42"/>
    <mergeCell ref="R32:T42"/>
    <mergeCell ref="A43:AG43"/>
    <mergeCell ref="A44:E44"/>
    <mergeCell ref="AB44:AE44"/>
    <mergeCell ref="H44:J44"/>
    <mergeCell ref="M44:O44"/>
    <mergeCell ref="H52:J62"/>
    <mergeCell ref="M52:O62"/>
    <mergeCell ref="R52:T62"/>
    <mergeCell ref="A63:AG63"/>
    <mergeCell ref="A64:E64"/>
    <mergeCell ref="AB64:AE64"/>
    <mergeCell ref="A83:AG83"/>
    <mergeCell ref="A84:E84"/>
    <mergeCell ref="H84:J84"/>
    <mergeCell ref="M84:O84"/>
    <mergeCell ref="R84:T84"/>
    <mergeCell ref="W84:Y84"/>
    <mergeCell ref="AB84:AE84"/>
    <mergeCell ref="AI84:AL84"/>
    <mergeCell ref="H72:J82"/>
    <mergeCell ref="H92:J102"/>
    <mergeCell ref="H112:J122"/>
    <mergeCell ref="H132:J142"/>
    <mergeCell ref="R64:T64"/>
    <mergeCell ref="W64:Y64"/>
    <mergeCell ref="AB67:AE82"/>
    <mergeCell ref="M72:O82"/>
    <mergeCell ref="R72:T82"/>
    <mergeCell ref="W72:Y82"/>
    <mergeCell ref="AB87:AE102"/>
    <mergeCell ref="W92:Y102"/>
    <mergeCell ref="M92:O102"/>
    <mergeCell ref="R92:T102"/>
    <mergeCell ref="A103:AG103"/>
    <mergeCell ref="A104:E104"/>
    <mergeCell ref="H104:J104"/>
    <mergeCell ref="M104:O104"/>
    <mergeCell ref="R104:T104"/>
    <mergeCell ref="AB144:AE144"/>
    <mergeCell ref="AI144:AL144"/>
    <mergeCell ref="M112:O122"/>
    <mergeCell ref="M132:O142"/>
    <mergeCell ref="M192:O202"/>
    <mergeCell ref="W104:Y104"/>
    <mergeCell ref="AB104:AE104"/>
    <mergeCell ref="AI104:AL104"/>
    <mergeCell ref="AB107:AE122"/>
    <mergeCell ref="R112:T122"/>
    <mergeCell ref="W112:Y122"/>
    <mergeCell ref="AB127:AE142"/>
    <mergeCell ref="A163:AG163"/>
    <mergeCell ref="A164:E164"/>
    <mergeCell ref="H164:J164"/>
    <mergeCell ref="M164:O164"/>
    <mergeCell ref="R164:T164"/>
    <mergeCell ref="W164:Y164"/>
    <mergeCell ref="AB164:AE164"/>
    <mergeCell ref="AI164:AL164"/>
    <mergeCell ref="H152:J162"/>
    <mergeCell ref="H172:J182"/>
    <mergeCell ref="H192:J202"/>
    <mergeCell ref="R132:T142"/>
    <mergeCell ref="W132:Y142"/>
    <mergeCell ref="AB147:AE162"/>
    <mergeCell ref="M152:O162"/>
    <mergeCell ref="R152:T162"/>
    <mergeCell ref="W152:Y162"/>
    <mergeCell ref="AB167:AE182"/>
    <mergeCell ref="W172:Y182"/>
    <mergeCell ref="M172:O182"/>
    <mergeCell ref="R172:T182"/>
    <mergeCell ref="A183:AG183"/>
    <mergeCell ref="A184:E184"/>
    <mergeCell ref="H184:J184"/>
    <mergeCell ref="M184:O184"/>
    <mergeCell ref="R184:T184"/>
    <mergeCell ref="W184:Y184"/>
    <mergeCell ref="AB184:AE184"/>
    <mergeCell ref="AI184:AL184"/>
    <mergeCell ref="AB187:AE202"/>
    <mergeCell ref="R192:T202"/>
    <mergeCell ref="W192:Y202"/>
    <mergeCell ref="A203:AG203"/>
    <mergeCell ref="H204:J204"/>
    <mergeCell ref="H212:J222"/>
    <mergeCell ref="H232:J242"/>
    <mergeCell ref="M232:O242"/>
    <mergeCell ref="H252:J262"/>
    <mergeCell ref="M252:O262"/>
    <mergeCell ref="R204:T204"/>
    <mergeCell ref="R212:T222"/>
    <mergeCell ref="R232:T242"/>
    <mergeCell ref="R252:T262"/>
    <mergeCell ref="A204:E204"/>
    <mergeCell ref="M204:O204"/>
    <mergeCell ref="W204:Y204"/>
    <mergeCell ref="AB204:AE204"/>
    <mergeCell ref="AI204:AL204"/>
    <mergeCell ref="AB207:AE222"/>
    <mergeCell ref="M212:O222"/>
    <mergeCell ref="W212:Y222"/>
    <mergeCell ref="A223:AG223"/>
    <mergeCell ref="A224:E224"/>
    <mergeCell ref="H224:J224"/>
    <mergeCell ref="M224:O224"/>
    <mergeCell ref="R224:T224"/>
    <mergeCell ref="W224:Y224"/>
    <mergeCell ref="M244:O244"/>
    <mergeCell ref="R244:T244"/>
    <mergeCell ref="AB224:AE224"/>
    <mergeCell ref="AI224:AL224"/>
    <mergeCell ref="AB227:AE242"/>
    <mergeCell ref="W232:Y242"/>
    <mergeCell ref="A243:AG243"/>
    <mergeCell ref="A244:E244"/>
    <mergeCell ref="H244:J244"/>
    <mergeCell ref="AI244:AL244"/>
    <mergeCell ref="M264:O264"/>
    <mergeCell ref="R264:T264"/>
    <mergeCell ref="AI264:AL264"/>
    <mergeCell ref="R332:T342"/>
    <mergeCell ref="W332:Y342"/>
    <mergeCell ref="AB347:AE362"/>
    <mergeCell ref="H352:J362"/>
    <mergeCell ref="M352:O362"/>
    <mergeCell ref="R352:T362"/>
    <mergeCell ref="W352:Y362"/>
    <mergeCell ref="W304:Y304"/>
    <mergeCell ref="AB304:AE304"/>
    <mergeCell ref="AI304:AL304"/>
    <mergeCell ref="AB307:AE322"/>
    <mergeCell ref="R312:T322"/>
    <mergeCell ref="W312:Y322"/>
    <mergeCell ref="AB327:AE342"/>
    <mergeCell ref="A323:AG323"/>
    <mergeCell ref="H324:J324"/>
    <mergeCell ref="M324:O324"/>
    <mergeCell ref="R324:T324"/>
    <mergeCell ref="W324:Y324"/>
    <mergeCell ref="AB324:AE324"/>
    <mergeCell ref="AI324:AL324"/>
    <mergeCell ref="A324:E324"/>
    <mergeCell ref="A343:AG343"/>
    <mergeCell ref="A344:E344"/>
    <mergeCell ref="H344:J344"/>
    <mergeCell ref="M344:O344"/>
    <mergeCell ref="R344:T344"/>
    <mergeCell ref="W344:Y344"/>
    <mergeCell ref="W244:Y244"/>
    <mergeCell ref="AB244:AE244"/>
    <mergeCell ref="AB247:AE262"/>
    <mergeCell ref="W252:Y262"/>
    <mergeCell ref="A263:AG263"/>
    <mergeCell ref="A264:E264"/>
    <mergeCell ref="H264:J264"/>
    <mergeCell ref="A283:AG283"/>
    <mergeCell ref="A284:E284"/>
    <mergeCell ref="H284:J284"/>
    <mergeCell ref="M284:O284"/>
    <mergeCell ref="R284:T284"/>
    <mergeCell ref="W284:Y284"/>
    <mergeCell ref="AB284:AE284"/>
    <mergeCell ref="AI284:AL284"/>
    <mergeCell ref="H272:J282"/>
    <mergeCell ref="H292:J302"/>
    <mergeCell ref="H312:J322"/>
    <mergeCell ref="H332:J342"/>
    <mergeCell ref="W264:Y264"/>
    <mergeCell ref="AB264:AE264"/>
    <mergeCell ref="AB267:AE282"/>
    <mergeCell ref="M272:O282"/>
    <mergeCell ref="R272:T282"/>
    <mergeCell ref="W272:Y282"/>
    <mergeCell ref="AB287:AE302"/>
    <mergeCell ref="W292:Y302"/>
    <mergeCell ref="M292:O302"/>
    <mergeCell ref="R292:T302"/>
    <mergeCell ref="A303:AG303"/>
    <mergeCell ref="A304:E304"/>
    <mergeCell ref="H304:J304"/>
    <mergeCell ref="M304:O304"/>
    <mergeCell ref="R304:T304"/>
    <mergeCell ref="M312:O322"/>
    <mergeCell ref="M332:O342"/>
    <mergeCell ref="AB344:AE344"/>
    <mergeCell ref="AI344:AL344"/>
  </mergeCells>
  <dataValidations>
    <dataValidation type="list" allowBlank="1" showErrorMessage="1" sqref="S5:T9 S25:T31 S45:T51 S65:T71 S85:T91 S105:T111 S125:T131 S145:T151 S165:T171 S185:T191 S205:T211 S225:T231 S245:T251 S265:T271 S285:T291 S305:T311 S325:T331 S345:T351">
      <formula1>"0,1,2,3,4,5,6,7,8,9"</formula1>
    </dataValidation>
    <dataValidation type="list" allowBlank="1" showErrorMessage="1" sqref="N5:O9 N25:O31 N45:O51 N65:O71 N85:O91 N105:O111 N125:O131 N145:O151 N165:O171 N185:O191 N205:O211 N225:O231 N245:O251 N265:O271 N285:O291 N305:O311 N325:O331 N345:O351">
      <formula1>"0,1,2,3,4,5,6,7,8,9"</formula1>
    </dataValidation>
    <dataValidation type="list" allowBlank="1" showErrorMessage="1" sqref="AD5:AE6 AD25:AE26 AD45:AE46 AD65:AE66 AD85:AE86 AD105:AE106 AD125:AE126 AD145:AE146 AD165:AE166 AD185:AE186 AD205:AE206 AD225:AE226 AD245:AE246 AD265:AE266 AD285:AE286 AD305:AE306 AD325:AE326 AD345:AE346">
      <formula1>"0,1,2,3,4,5,6,7,8,9"</formula1>
    </dataValidation>
    <dataValidation type="list" allowBlank="1" showErrorMessage="1" sqref="I5:J10 I25:J31 I45:J51 I65:J71 I85:J91 I105:J111 I125:J131 I145:J151 I165:J171 I185:J191 I205:J211 I225:J231 I245:J251 I265:J271 I285:J291 I305:J311 I325:J331 I345:J351">
      <formula1>"0,1,2,3,4,5,6,7,8,9"</formula1>
    </dataValidation>
    <dataValidation type="list" allowBlank="1" showErrorMessage="1" sqref="X5:Y9 X25:Y31 X45:Y51 X65:Y71 X85:Y91 X105:Y111 X125:Y131 X145:Y151 X165:Y171 X185:Y191 X205:Y211 X225:Y231 X245:Y251 X265:Y271 X285:Y291 X305:Y311 X325:Y331 X345:Y351">
      <formula1>"0,1,2,3,4,5,6,7,8,9"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8" width="9.5"/>
    <col customWidth="1" min="9" max="9" width="31.13"/>
    <col customWidth="1" min="10" max="11" width="10.63"/>
    <col hidden="1" min="12" max="12" width="12.63"/>
    <col customWidth="1" hidden="1" min="13" max="19" width="9.5"/>
  </cols>
  <sheetData>
    <row r="1">
      <c r="A1" s="58" t="s">
        <v>77</v>
      </c>
      <c r="B1" s="58" t="s">
        <v>3</v>
      </c>
      <c r="C1" s="58" t="s">
        <v>4</v>
      </c>
      <c r="D1" s="58" t="s">
        <v>15</v>
      </c>
      <c r="E1" s="58" t="s">
        <v>16</v>
      </c>
      <c r="F1" s="58" t="s">
        <v>78</v>
      </c>
      <c r="G1" s="58" t="s">
        <v>17</v>
      </c>
      <c r="H1" s="58" t="s">
        <v>10</v>
      </c>
      <c r="J1" s="59" t="s">
        <v>79</v>
      </c>
      <c r="K1" s="59" t="s">
        <v>80</v>
      </c>
      <c r="L1" s="58" t="s">
        <v>77</v>
      </c>
      <c r="M1" s="58" t="s">
        <v>3</v>
      </c>
      <c r="N1" s="58" t="s">
        <v>4</v>
      </c>
      <c r="O1" s="58" t="s">
        <v>15</v>
      </c>
      <c r="P1" s="58" t="s">
        <v>16</v>
      </c>
      <c r="Q1" s="58" t="s">
        <v>78</v>
      </c>
      <c r="R1" s="58" t="s">
        <v>17</v>
      </c>
      <c r="S1" s="58" t="s">
        <v>10</v>
      </c>
    </row>
    <row r="2">
      <c r="A2" s="60" t="str">
        <f>IFERROR(__xludf.DUMMYFUNCTION("QUERY(L2:S179, ""SELECT * WHERE L IS NOT NULL ORDER BY S DESC"")
"),"Jakob S")</f>
        <v>Jakob S</v>
      </c>
      <c r="B2" s="61">
        <f>IFERROR(__xludf.DUMMYFUNCTION("""COMPUTED_VALUE"""),36.0)</f>
        <v>36</v>
      </c>
      <c r="C2" s="61">
        <f>IFERROR(__xludf.DUMMYFUNCTION("""COMPUTED_VALUE"""),37.0)</f>
        <v>37</v>
      </c>
      <c r="D2" s="61">
        <f>IFERROR(__xludf.DUMMYFUNCTION("""COMPUTED_VALUE"""),52.0)</f>
        <v>52</v>
      </c>
      <c r="E2" s="61">
        <f>IFERROR(__xludf.DUMMYFUNCTION("""COMPUTED_VALUE"""),32.0)</f>
        <v>32</v>
      </c>
      <c r="F2" s="61">
        <f>IFERROR(__xludf.DUMMYFUNCTION("""COMPUTED_VALUE"""),15.0)</f>
        <v>15</v>
      </c>
      <c r="G2" s="61">
        <f>IFERROR(__xludf.DUMMYFUNCTION("""COMPUTED_VALUE"""),0.0)</f>
        <v>0</v>
      </c>
      <c r="H2" s="61">
        <f>IFERROR(__xludf.DUMMYFUNCTION("""COMPUTED_VALUE"""),174.0)</f>
        <v>174</v>
      </c>
      <c r="I2" s="60" t="str">
        <f t="shared" ref="I2:I57" si="1">IF(H2 &lt;&gt; "", REPT("▮", ROUND((H2 / $H$2) * 30,0)) &amp; REPT("▯", 30 - ROUND((H2 / $H$2) * 30,0)), "")
</f>
        <v>▮▮▮▮▮▮▮▮▮▮▮▮▮▮▮▮▮▮▮▮▮▮▮▮▮▮▮▮▮▮</v>
      </c>
      <c r="J2" s="62">
        <f t="shared" ref="J2:J54" si="2">IFERROR(ROUND(H2/F2, 1), "")</f>
        <v>11.6</v>
      </c>
      <c r="K2" s="62">
        <f t="shared" ref="K2:K54" si="3">IFERROR(ROUND(MIN(99, 94 * (0.8*MIN(1, J2/J$2) + 0.2*H2/H$2)),0), "")</f>
        <v>94</v>
      </c>
      <c r="L2" s="60" t="str">
        <f t="array" ref="L2:L54">SORT(UNIQUE(Spelarstatistik!A2:A179))</f>
        <v>Achillie X</v>
      </c>
      <c r="M2" s="60">
        <f>SUMIF(Spelarstatistik!A$2:A179, L2, Spelarstatistik!B$2:B179)
</f>
        <v>0</v>
      </c>
      <c r="N2" s="60">
        <f>SUMIF(Spelarstatistik!A$2:A179, L2, Spelarstatistik!C$2:C179)
</f>
        <v>0</v>
      </c>
      <c r="O2" s="60">
        <f>SUMIF(Spelarstatistik!A$2:A179, L2, Spelarstatistik!D$2:D179)
</f>
        <v>1</v>
      </c>
      <c r="P2" s="60">
        <f>SUMIF(Spelarstatistik!A$2:A179, L2, Spelarstatistik!E$2:E179)
</f>
        <v>3</v>
      </c>
      <c r="Q2" s="60">
        <f>COUNTIF(Spelarstatistik!A$2:A179, L2)
</f>
        <v>1</v>
      </c>
      <c r="R2" s="60">
        <f>SUMIF(Matcher!AC$5:AC179, L2, Matcher!AH$5:AH179)
</f>
        <v>0</v>
      </c>
      <c r="S2" s="60">
        <f t="shared" ref="S2:S179" si="4">IF(L2 &lt;&gt; "", ROUND(M2 + N2 + 0.5 * O2 + 5 * Q2 + 0.5 * R2,0), "")
</f>
        <v>6</v>
      </c>
    </row>
    <row r="3">
      <c r="A3" s="60" t="str">
        <f>IFERROR(__xludf.DUMMYFUNCTION("""COMPUTED_VALUE"""),"Oliver G")</f>
        <v>Oliver G</v>
      </c>
      <c r="B3" s="61">
        <f>IFERROR(__xludf.DUMMYFUNCTION("""COMPUTED_VALUE"""),28.0)</f>
        <v>28</v>
      </c>
      <c r="C3" s="61">
        <f>IFERROR(__xludf.DUMMYFUNCTION("""COMPUTED_VALUE"""),22.0)</f>
        <v>22</v>
      </c>
      <c r="D3" s="61">
        <f>IFERROR(__xludf.DUMMYFUNCTION("""COMPUTED_VALUE"""),48.0)</f>
        <v>48</v>
      </c>
      <c r="E3" s="61">
        <f>IFERROR(__xludf.DUMMYFUNCTION("""COMPUTED_VALUE"""),50.0)</f>
        <v>50</v>
      </c>
      <c r="F3" s="61">
        <f>IFERROR(__xludf.DUMMYFUNCTION("""COMPUTED_VALUE"""),17.0)</f>
        <v>17</v>
      </c>
      <c r="G3" s="61">
        <f>IFERROR(__xludf.DUMMYFUNCTION("""COMPUTED_VALUE"""),0.0)</f>
        <v>0</v>
      </c>
      <c r="H3" s="61">
        <f>IFERROR(__xludf.DUMMYFUNCTION("""COMPUTED_VALUE"""),159.0)</f>
        <v>159</v>
      </c>
      <c r="I3" s="60" t="str">
        <f t="shared" si="1"/>
        <v>▮▮▮▮▮▮▮▮▮▮▮▮▮▮▮▮▮▮▮▮▮▮▮▮▮▮▮▯▯▯</v>
      </c>
      <c r="J3" s="62">
        <f t="shared" si="2"/>
        <v>9.4</v>
      </c>
      <c r="K3" s="62">
        <f t="shared" si="3"/>
        <v>78</v>
      </c>
      <c r="L3" s="60" t="s">
        <v>28</v>
      </c>
      <c r="M3" s="60">
        <f>SUMIF(Spelarstatistik!A$2:A179, L3, Spelarstatistik!B$2:B179)
</f>
        <v>3</v>
      </c>
      <c r="N3" s="60">
        <f>SUMIF(Spelarstatistik!A$2:A179, L3, Spelarstatistik!C$2:C179)
</f>
        <v>2</v>
      </c>
      <c r="O3" s="60">
        <f>SUMIF(Spelarstatistik!A$2:A179, L3, Spelarstatistik!D$2:D179)
</f>
        <v>13</v>
      </c>
      <c r="P3" s="60">
        <f>SUMIF(Spelarstatistik!A$2:A179, L3, Spelarstatistik!E$2:E179)
</f>
        <v>19</v>
      </c>
      <c r="Q3" s="60">
        <f>COUNTIF(Spelarstatistik!A$2:A179, L3)
</f>
        <v>6</v>
      </c>
      <c r="R3" s="60">
        <f>SUMIF(Matcher!AC$5:AC179, L3, Matcher!AH$5:AH179)
</f>
        <v>0</v>
      </c>
      <c r="S3" s="60">
        <f t="shared" si="4"/>
        <v>42</v>
      </c>
    </row>
    <row r="4">
      <c r="A4" s="60" t="str">
        <f>IFERROR(__xludf.DUMMYFUNCTION("""COMPUTED_VALUE"""),"Emil B")</f>
        <v>Emil B</v>
      </c>
      <c r="B4" s="61">
        <f>IFERROR(__xludf.DUMMYFUNCTION("""COMPUTED_VALUE"""),3.0)</f>
        <v>3</v>
      </c>
      <c r="C4" s="61">
        <f>IFERROR(__xludf.DUMMYFUNCTION("""COMPUTED_VALUE"""),9.0)</f>
        <v>9</v>
      </c>
      <c r="D4" s="61">
        <f>IFERROR(__xludf.DUMMYFUNCTION("""COMPUTED_VALUE"""),56.0)</f>
        <v>56</v>
      </c>
      <c r="E4" s="61">
        <f>IFERROR(__xludf.DUMMYFUNCTION("""COMPUTED_VALUE"""),57.0)</f>
        <v>57</v>
      </c>
      <c r="F4" s="61">
        <f>IFERROR(__xludf.DUMMYFUNCTION("""COMPUTED_VALUE"""),14.0)</f>
        <v>14</v>
      </c>
      <c r="G4" s="61">
        <f>IFERROR(__xludf.DUMMYFUNCTION("""COMPUTED_VALUE"""),72.0)</f>
        <v>72</v>
      </c>
      <c r="H4" s="61">
        <f>IFERROR(__xludf.DUMMYFUNCTION("""COMPUTED_VALUE"""),146.0)</f>
        <v>146</v>
      </c>
      <c r="I4" s="60" t="str">
        <f t="shared" si="1"/>
        <v>▮▮▮▮▮▮▮▮▮▮▮▮▮▮▮▮▮▮▮▮▮▮▮▮▮▯▯▯▯▯</v>
      </c>
      <c r="J4" s="62">
        <f t="shared" si="2"/>
        <v>10.4</v>
      </c>
      <c r="K4" s="62">
        <f t="shared" si="3"/>
        <v>83</v>
      </c>
      <c r="L4" s="60" t="s">
        <v>31</v>
      </c>
      <c r="M4" s="60">
        <f>SUMIF(Spelarstatistik!A$2:A179, L4, Spelarstatistik!B$2:B179)
</f>
        <v>3</v>
      </c>
      <c r="N4" s="60">
        <f>SUMIF(Spelarstatistik!A$2:A179, L4, Spelarstatistik!C$2:C179)
</f>
        <v>3</v>
      </c>
      <c r="O4" s="60">
        <f>SUMIF(Spelarstatistik!A$2:A179, L4, Spelarstatistik!D$2:D179)
</f>
        <v>4</v>
      </c>
      <c r="P4" s="60">
        <f>SUMIF(Spelarstatistik!A$2:A179, L4, Spelarstatistik!E$2:E179)
</f>
        <v>5</v>
      </c>
      <c r="Q4" s="60">
        <f>COUNTIF(Spelarstatistik!A$2:A179, L4)
</f>
        <v>1</v>
      </c>
      <c r="R4" s="60">
        <f>SUMIF(Matcher!AC$5:AC179, L4, Matcher!AH$5:AH179)
</f>
        <v>0</v>
      </c>
      <c r="S4" s="60">
        <f t="shared" si="4"/>
        <v>13</v>
      </c>
    </row>
    <row r="5">
      <c r="A5" s="60" t="str">
        <f>IFERROR(__xludf.DUMMYFUNCTION("""COMPUTED_VALUE"""),"Daniel K")</f>
        <v>Daniel K</v>
      </c>
      <c r="B5" s="61">
        <f>IFERROR(__xludf.DUMMYFUNCTION("""COMPUTED_VALUE"""),24.0)</f>
        <v>24</v>
      </c>
      <c r="C5" s="61">
        <f>IFERROR(__xludf.DUMMYFUNCTION("""COMPUTED_VALUE"""),20.0)</f>
        <v>20</v>
      </c>
      <c r="D5" s="61">
        <f>IFERROR(__xludf.DUMMYFUNCTION("""COMPUTED_VALUE"""),37.0)</f>
        <v>37</v>
      </c>
      <c r="E5" s="61">
        <f>IFERROR(__xludf.DUMMYFUNCTION("""COMPUTED_VALUE"""),36.0)</f>
        <v>36</v>
      </c>
      <c r="F5" s="61">
        <f>IFERROR(__xludf.DUMMYFUNCTION("""COMPUTED_VALUE"""),14.0)</f>
        <v>14</v>
      </c>
      <c r="G5" s="61">
        <f>IFERROR(__xludf.DUMMYFUNCTION("""COMPUTED_VALUE"""),0.0)</f>
        <v>0</v>
      </c>
      <c r="H5" s="61">
        <f>IFERROR(__xludf.DUMMYFUNCTION("""COMPUTED_VALUE"""),133.0)</f>
        <v>133</v>
      </c>
      <c r="I5" s="60" t="str">
        <f t="shared" si="1"/>
        <v>▮▮▮▮▮▮▮▮▮▮▮▮▮▮▮▮▮▮▮▮▮▮▮▯▯▯▯▯▯▯</v>
      </c>
      <c r="J5" s="62">
        <f t="shared" si="2"/>
        <v>9.5</v>
      </c>
      <c r="K5" s="62">
        <f t="shared" si="3"/>
        <v>76</v>
      </c>
      <c r="L5" s="60" t="s">
        <v>33</v>
      </c>
      <c r="M5" s="60">
        <f>SUMIF(Spelarstatistik!A$2:A179, L5, Spelarstatistik!B$2:B179)
</f>
        <v>11</v>
      </c>
      <c r="N5" s="60">
        <f>SUMIF(Spelarstatistik!A$2:A179, L5, Spelarstatistik!C$2:C179)
</f>
        <v>15</v>
      </c>
      <c r="O5" s="60">
        <f>SUMIF(Spelarstatistik!A$2:A179, L5, Spelarstatistik!D$2:D179)
</f>
        <v>33</v>
      </c>
      <c r="P5" s="60">
        <f>SUMIF(Spelarstatistik!A$2:A179, L5, Spelarstatistik!E$2:E179)
</f>
        <v>22</v>
      </c>
      <c r="Q5" s="60">
        <f>COUNTIF(Spelarstatistik!A$2:A179, L5)
</f>
        <v>13</v>
      </c>
      <c r="R5" s="60">
        <f>SUMIF(Matcher!AC$5:AC179, L5, Matcher!AH$5:AH179)
</f>
        <v>0</v>
      </c>
      <c r="S5" s="60">
        <f t="shared" si="4"/>
        <v>108</v>
      </c>
    </row>
    <row r="6">
      <c r="A6" s="60" t="str">
        <f>IFERROR(__xludf.DUMMYFUNCTION("""COMPUTED_VALUE"""),"Oskar R")</f>
        <v>Oskar R</v>
      </c>
      <c r="B6" s="61">
        <f>IFERROR(__xludf.DUMMYFUNCTION("""COMPUTED_VALUE"""),16.0)</f>
        <v>16</v>
      </c>
      <c r="C6" s="61">
        <f>IFERROR(__xludf.DUMMYFUNCTION("""COMPUTED_VALUE"""),23.0)</f>
        <v>23</v>
      </c>
      <c r="D6" s="61">
        <f>IFERROR(__xludf.DUMMYFUNCTION("""COMPUTED_VALUE"""),48.0)</f>
        <v>48</v>
      </c>
      <c r="E6" s="61">
        <f>IFERROR(__xludf.DUMMYFUNCTION("""COMPUTED_VALUE"""),35.0)</f>
        <v>35</v>
      </c>
      <c r="F6" s="61">
        <f>IFERROR(__xludf.DUMMYFUNCTION("""COMPUTED_VALUE"""),14.0)</f>
        <v>14</v>
      </c>
      <c r="G6" s="61">
        <f>IFERROR(__xludf.DUMMYFUNCTION("""COMPUTED_VALUE"""),0.0)</f>
        <v>0</v>
      </c>
      <c r="H6" s="61">
        <f>IFERROR(__xludf.DUMMYFUNCTION("""COMPUTED_VALUE"""),133.0)</f>
        <v>133</v>
      </c>
      <c r="I6" s="60" t="str">
        <f t="shared" si="1"/>
        <v>▮▮▮▮▮▮▮▮▮▮▮▮▮▮▮▮▮▮▮▮▮▮▮▯▯▯▯▯▯▯</v>
      </c>
      <c r="J6" s="62">
        <f t="shared" si="2"/>
        <v>9.5</v>
      </c>
      <c r="K6" s="62">
        <f t="shared" si="3"/>
        <v>76</v>
      </c>
      <c r="L6" s="60" t="s">
        <v>53</v>
      </c>
      <c r="M6" s="60">
        <f>SUMIF(Spelarstatistik!A$2:A179, L6, Spelarstatistik!B$2:B179)
</f>
        <v>1</v>
      </c>
      <c r="N6" s="60">
        <f>SUMIF(Spelarstatistik!A$2:A179, L6, Spelarstatistik!C$2:C179)
</f>
        <v>4</v>
      </c>
      <c r="O6" s="60">
        <f>SUMIF(Spelarstatistik!A$2:A179, L6, Spelarstatistik!D$2:D179)
</f>
        <v>16</v>
      </c>
      <c r="P6" s="60">
        <f>SUMIF(Spelarstatistik!A$2:A179, L6, Spelarstatistik!E$2:E179)
</f>
        <v>14</v>
      </c>
      <c r="Q6" s="60">
        <f>COUNTIF(Spelarstatistik!A$2:A179, L6)
</f>
        <v>6</v>
      </c>
      <c r="R6" s="60">
        <f>SUMIF(Matcher!AC$5:AC179, L6, Matcher!AH$5:AH179)
</f>
        <v>0</v>
      </c>
      <c r="S6" s="60">
        <f t="shared" si="4"/>
        <v>43</v>
      </c>
    </row>
    <row r="7">
      <c r="A7" s="60" t="str">
        <f>IFERROR(__xludf.DUMMYFUNCTION("""COMPUTED_VALUE"""),"Ivan N")</f>
        <v>Ivan N</v>
      </c>
      <c r="B7" s="61">
        <f>IFERROR(__xludf.DUMMYFUNCTION("""COMPUTED_VALUE"""),27.0)</f>
        <v>27</v>
      </c>
      <c r="C7" s="61">
        <f>IFERROR(__xludf.DUMMYFUNCTION("""COMPUTED_VALUE"""),24.0)</f>
        <v>24</v>
      </c>
      <c r="D7" s="61">
        <f>IFERROR(__xludf.DUMMYFUNCTION("""COMPUTED_VALUE"""),35.0)</f>
        <v>35</v>
      </c>
      <c r="E7" s="61">
        <f>IFERROR(__xludf.DUMMYFUNCTION("""COMPUTED_VALUE"""),39.0)</f>
        <v>39</v>
      </c>
      <c r="F7" s="61">
        <f>IFERROR(__xludf.DUMMYFUNCTION("""COMPUTED_VALUE"""),12.0)</f>
        <v>12</v>
      </c>
      <c r="G7" s="61">
        <f>IFERROR(__xludf.DUMMYFUNCTION("""COMPUTED_VALUE"""),0.0)</f>
        <v>0</v>
      </c>
      <c r="H7" s="61">
        <f>IFERROR(__xludf.DUMMYFUNCTION("""COMPUTED_VALUE"""),129.0)</f>
        <v>129</v>
      </c>
      <c r="I7" s="60" t="str">
        <f t="shared" si="1"/>
        <v>▮▮▮▮▮▮▮▮▮▮▮▮▮▮▮▮▮▮▮▮▮▮▯▯▯▯▯▯▯▯</v>
      </c>
      <c r="J7" s="62">
        <f t="shared" si="2"/>
        <v>10.8</v>
      </c>
      <c r="K7" s="62">
        <f t="shared" si="3"/>
        <v>84</v>
      </c>
      <c r="L7" s="60" t="s">
        <v>27</v>
      </c>
      <c r="M7" s="60">
        <f>SUMIF(Spelarstatistik!A$2:A179, L7, Spelarstatistik!B$2:B179)
</f>
        <v>10</v>
      </c>
      <c r="N7" s="60">
        <f>SUMIF(Spelarstatistik!A$2:A179, L7, Spelarstatistik!C$2:C179)
</f>
        <v>9</v>
      </c>
      <c r="O7" s="60">
        <f>SUMIF(Spelarstatistik!A$2:A179, L7, Spelarstatistik!D$2:D179)
</f>
        <v>22</v>
      </c>
      <c r="P7" s="60">
        <f>SUMIF(Spelarstatistik!A$2:A179, L7, Spelarstatistik!E$2:E179)
</f>
        <v>14</v>
      </c>
      <c r="Q7" s="60">
        <f>COUNTIF(Spelarstatistik!A$2:A179, L7)
</f>
        <v>5</v>
      </c>
      <c r="R7" s="60">
        <f>SUMIF(Matcher!AC$5:AC179, L7, Matcher!AH$5:AH179)
</f>
        <v>3</v>
      </c>
      <c r="S7" s="60">
        <f t="shared" si="4"/>
        <v>57</v>
      </c>
    </row>
    <row r="8">
      <c r="A8" s="60" t="str">
        <f>IFERROR(__xludf.DUMMYFUNCTION("""COMPUTED_VALUE"""),"Aria A")</f>
        <v>Aria A</v>
      </c>
      <c r="B8" s="61">
        <f>IFERROR(__xludf.DUMMYFUNCTION("""COMPUTED_VALUE"""),11.0)</f>
        <v>11</v>
      </c>
      <c r="C8" s="61">
        <f>IFERROR(__xludf.DUMMYFUNCTION("""COMPUTED_VALUE"""),15.0)</f>
        <v>15</v>
      </c>
      <c r="D8" s="61">
        <f>IFERROR(__xludf.DUMMYFUNCTION("""COMPUTED_VALUE"""),33.0)</f>
        <v>33</v>
      </c>
      <c r="E8" s="61">
        <f>IFERROR(__xludf.DUMMYFUNCTION("""COMPUTED_VALUE"""),22.0)</f>
        <v>22</v>
      </c>
      <c r="F8" s="61">
        <f>IFERROR(__xludf.DUMMYFUNCTION("""COMPUTED_VALUE"""),13.0)</f>
        <v>13</v>
      </c>
      <c r="G8" s="61">
        <f>IFERROR(__xludf.DUMMYFUNCTION("""COMPUTED_VALUE"""),0.0)</f>
        <v>0</v>
      </c>
      <c r="H8" s="61">
        <f>IFERROR(__xludf.DUMMYFUNCTION("""COMPUTED_VALUE"""),108.0)</f>
        <v>108</v>
      </c>
      <c r="I8" s="60" t="str">
        <f t="shared" si="1"/>
        <v>▮▮▮▮▮▮▮▮▮▮▮▮▮▮▮▮▮▮▮▯▯▯▯▯▯▯▯▯▯▯</v>
      </c>
      <c r="J8" s="62">
        <f t="shared" si="2"/>
        <v>8.3</v>
      </c>
      <c r="K8" s="62">
        <f t="shared" si="3"/>
        <v>65</v>
      </c>
      <c r="L8" s="60" t="s">
        <v>45</v>
      </c>
      <c r="M8" s="60">
        <f>SUMIF(Spelarstatistik!A$2:A179, L8, Spelarstatistik!B$2:B179)
</f>
        <v>8</v>
      </c>
      <c r="N8" s="60">
        <f>SUMIF(Spelarstatistik!A$2:A179, L8, Spelarstatistik!C$2:C179)
</f>
        <v>1</v>
      </c>
      <c r="O8" s="60">
        <f>SUMIF(Spelarstatistik!A$2:A179, L8, Spelarstatistik!D$2:D179)
</f>
        <v>13</v>
      </c>
      <c r="P8" s="60">
        <f>SUMIF(Spelarstatistik!A$2:A179, L8, Spelarstatistik!E$2:E179)
</f>
        <v>26</v>
      </c>
      <c r="Q8" s="60">
        <f>COUNTIF(Spelarstatistik!A$2:A179, L8)
</f>
        <v>6</v>
      </c>
      <c r="R8" s="60">
        <f>SUMIF(Matcher!AC$5:AC179, L8, Matcher!AH$5:AH179)
</f>
        <v>0</v>
      </c>
      <c r="S8" s="60">
        <f t="shared" si="4"/>
        <v>46</v>
      </c>
    </row>
    <row r="9">
      <c r="A9" s="60" t="str">
        <f>IFERROR(__xludf.DUMMYFUNCTION("""COMPUTED_VALUE"""),"Samuel P")</f>
        <v>Samuel P</v>
      </c>
      <c r="B9" s="61">
        <f>IFERROR(__xludf.DUMMYFUNCTION("""COMPUTED_VALUE"""),11.0)</f>
        <v>11</v>
      </c>
      <c r="C9" s="61">
        <f>IFERROR(__xludf.DUMMYFUNCTION("""COMPUTED_VALUE"""),29.0)</f>
        <v>29</v>
      </c>
      <c r="D9" s="61">
        <f>IFERROR(__xludf.DUMMYFUNCTION("""COMPUTED_VALUE"""),28.0)</f>
        <v>28</v>
      </c>
      <c r="E9" s="61">
        <f>IFERROR(__xludf.DUMMYFUNCTION("""COMPUTED_VALUE"""),40.0)</f>
        <v>40</v>
      </c>
      <c r="F9" s="61">
        <f>IFERROR(__xludf.DUMMYFUNCTION("""COMPUTED_VALUE"""),10.0)</f>
        <v>10</v>
      </c>
      <c r="G9" s="61">
        <f>IFERROR(__xludf.DUMMYFUNCTION("""COMPUTED_VALUE"""),0.0)</f>
        <v>0</v>
      </c>
      <c r="H9" s="61">
        <f>IFERROR(__xludf.DUMMYFUNCTION("""COMPUTED_VALUE"""),104.0)</f>
        <v>104</v>
      </c>
      <c r="I9" s="60" t="str">
        <f t="shared" si="1"/>
        <v>▮▮▮▮▮▮▮▮▮▮▮▮▮▮▮▮▮▮▯▯▯▯▯▯▯▯▯▯▯▯</v>
      </c>
      <c r="J9" s="62">
        <f t="shared" si="2"/>
        <v>10.4</v>
      </c>
      <c r="K9" s="62">
        <f t="shared" si="3"/>
        <v>79</v>
      </c>
      <c r="L9" s="60" t="s">
        <v>25</v>
      </c>
      <c r="M9" s="60">
        <f>SUMIF(Spelarstatistik!A$2:A179, L9, Spelarstatistik!B$2:B179)
</f>
        <v>24</v>
      </c>
      <c r="N9" s="60">
        <f>SUMIF(Spelarstatistik!A$2:A179, L9, Spelarstatistik!C$2:C179)
</f>
        <v>20</v>
      </c>
      <c r="O9" s="60">
        <f>SUMIF(Spelarstatistik!A$2:A179, L9, Spelarstatistik!D$2:D179)
</f>
        <v>37</v>
      </c>
      <c r="P9" s="60">
        <f>SUMIF(Spelarstatistik!A$2:A179, L9, Spelarstatistik!E$2:E179)
</f>
        <v>36</v>
      </c>
      <c r="Q9" s="60">
        <f>COUNTIF(Spelarstatistik!A$2:A179, L9)
</f>
        <v>14</v>
      </c>
      <c r="R9" s="60">
        <f>SUMIF(Matcher!AC$5:AC179, L9, Matcher!AH$5:AH179)
</f>
        <v>0</v>
      </c>
      <c r="S9" s="60">
        <f t="shared" si="4"/>
        <v>133</v>
      </c>
    </row>
    <row r="10">
      <c r="A10" s="60" t="str">
        <f>IFERROR(__xludf.DUMMYFUNCTION("""COMPUTED_VALUE"""),"Dennis F")</f>
        <v>Dennis F</v>
      </c>
      <c r="B10" s="61">
        <f>IFERROR(__xludf.DUMMYFUNCTION("""COMPUTED_VALUE"""),23.0)</f>
        <v>23</v>
      </c>
      <c r="C10" s="61">
        <f>IFERROR(__xludf.DUMMYFUNCTION("""COMPUTED_VALUE"""),11.0)</f>
        <v>11</v>
      </c>
      <c r="D10" s="61">
        <f>IFERROR(__xludf.DUMMYFUNCTION("""COMPUTED_VALUE"""),30.0)</f>
        <v>30</v>
      </c>
      <c r="E10" s="61">
        <f>IFERROR(__xludf.DUMMYFUNCTION("""COMPUTED_VALUE"""),20.0)</f>
        <v>20</v>
      </c>
      <c r="F10" s="61">
        <f>IFERROR(__xludf.DUMMYFUNCTION("""COMPUTED_VALUE"""),9.0)</f>
        <v>9</v>
      </c>
      <c r="G10" s="61">
        <f>IFERROR(__xludf.DUMMYFUNCTION("""COMPUTED_VALUE"""),6.0)</f>
        <v>6</v>
      </c>
      <c r="H10" s="61">
        <f>IFERROR(__xludf.DUMMYFUNCTION("""COMPUTED_VALUE"""),97.0)</f>
        <v>97</v>
      </c>
      <c r="I10" s="60" t="str">
        <f t="shared" si="1"/>
        <v>▮▮▮▮▮▮▮▮▮▮▮▮▮▮▮▮▮▯▯▯▯▯▯▯▯▯▯▯▯▯</v>
      </c>
      <c r="J10" s="62">
        <f t="shared" si="2"/>
        <v>10.8</v>
      </c>
      <c r="K10" s="62">
        <f t="shared" si="3"/>
        <v>80</v>
      </c>
      <c r="L10" s="60" t="s">
        <v>57</v>
      </c>
      <c r="M10" s="60">
        <f>SUMIF(Spelarstatistik!A$2:A179, L10, Spelarstatistik!B$2:B179)
</f>
        <v>26</v>
      </c>
      <c r="N10" s="60">
        <f>SUMIF(Spelarstatistik!A$2:A179, L10, Spelarstatistik!C$2:C179)
</f>
        <v>12</v>
      </c>
      <c r="O10" s="60">
        <f>SUMIF(Spelarstatistik!A$2:A179, L10, Spelarstatistik!D$2:D179)
</f>
        <v>19</v>
      </c>
      <c r="P10" s="60">
        <f>SUMIF(Spelarstatistik!A$2:A179, L10, Spelarstatistik!E$2:E179)
</f>
        <v>15</v>
      </c>
      <c r="Q10" s="60">
        <f>COUNTIF(Spelarstatistik!A$2:A179, L10)
</f>
        <v>6</v>
      </c>
      <c r="R10" s="60">
        <f>SUMIF(Matcher!AC$5:AC179, L10, Matcher!AH$5:AH179)
</f>
        <v>0</v>
      </c>
      <c r="S10" s="60">
        <f t="shared" si="4"/>
        <v>78</v>
      </c>
    </row>
    <row r="11">
      <c r="A11" s="60" t="str">
        <f>IFERROR(__xludf.DUMMYFUNCTION("""COMPUTED_VALUE"""),"Yvan I")</f>
        <v>Yvan I</v>
      </c>
      <c r="B11" s="61">
        <f>IFERROR(__xludf.DUMMYFUNCTION("""COMPUTED_VALUE"""),16.0)</f>
        <v>16</v>
      </c>
      <c r="C11" s="61">
        <f>IFERROR(__xludf.DUMMYFUNCTION("""COMPUTED_VALUE"""),9.0)</f>
        <v>9</v>
      </c>
      <c r="D11" s="61">
        <f>IFERROR(__xludf.DUMMYFUNCTION("""COMPUTED_VALUE"""),13.0)</f>
        <v>13</v>
      </c>
      <c r="E11" s="61">
        <f>IFERROR(__xludf.DUMMYFUNCTION("""COMPUTED_VALUE"""),47.0)</f>
        <v>47</v>
      </c>
      <c r="F11" s="61">
        <f>IFERROR(__xludf.DUMMYFUNCTION("""COMPUTED_VALUE"""),12.0)</f>
        <v>12</v>
      </c>
      <c r="G11" s="61">
        <f>IFERROR(__xludf.DUMMYFUNCTION("""COMPUTED_VALUE"""),0.0)</f>
        <v>0</v>
      </c>
      <c r="H11" s="61">
        <f>IFERROR(__xludf.DUMMYFUNCTION("""COMPUTED_VALUE"""),92.0)</f>
        <v>92</v>
      </c>
      <c r="I11" s="60" t="str">
        <f t="shared" si="1"/>
        <v>▮▮▮▮▮▮▮▮▮▮▮▮▮▮▮▮▯▯▯▯▯▯▯▯▯▯▯▯▯▯</v>
      </c>
      <c r="J11" s="62">
        <f t="shared" si="2"/>
        <v>7.7</v>
      </c>
      <c r="K11" s="62">
        <f t="shared" si="3"/>
        <v>60</v>
      </c>
      <c r="L11" s="60" t="s">
        <v>55</v>
      </c>
      <c r="M11" s="60">
        <f>SUMIF(Spelarstatistik!A$2:A179, L11, Spelarstatistik!B$2:B179)
</f>
        <v>23</v>
      </c>
      <c r="N11" s="60">
        <f>SUMIF(Spelarstatistik!A$2:A179, L11, Spelarstatistik!C$2:C179)
</f>
        <v>11</v>
      </c>
      <c r="O11" s="60">
        <f>SUMIF(Spelarstatistik!A$2:A179, L11, Spelarstatistik!D$2:D179)
</f>
        <v>30</v>
      </c>
      <c r="P11" s="60">
        <f>SUMIF(Spelarstatistik!A$2:A179, L11, Spelarstatistik!E$2:E179)
</f>
        <v>20</v>
      </c>
      <c r="Q11" s="60">
        <f>COUNTIF(Spelarstatistik!A$2:A179, L11)
</f>
        <v>9</v>
      </c>
      <c r="R11" s="60">
        <f>SUMIF(Matcher!AC$5:AC179, L11, Matcher!AH$5:AH179)
</f>
        <v>6</v>
      </c>
      <c r="S11" s="60">
        <f t="shared" si="4"/>
        <v>97</v>
      </c>
    </row>
    <row r="12">
      <c r="A12" s="60" t="str">
        <f>IFERROR(__xludf.DUMMYFUNCTION("""COMPUTED_VALUE"""),"Shahir I")</f>
        <v>Shahir I</v>
      </c>
      <c r="B12" s="61">
        <f>IFERROR(__xludf.DUMMYFUNCTION("""COMPUTED_VALUE"""),10.0)</f>
        <v>10</v>
      </c>
      <c r="C12" s="61">
        <f>IFERROR(__xludf.DUMMYFUNCTION("""COMPUTED_VALUE"""),11.0)</f>
        <v>11</v>
      </c>
      <c r="D12" s="61">
        <f>IFERROR(__xludf.DUMMYFUNCTION("""COMPUTED_VALUE"""),34.0)</f>
        <v>34</v>
      </c>
      <c r="E12" s="61">
        <f>IFERROR(__xludf.DUMMYFUNCTION("""COMPUTED_VALUE"""),23.0)</f>
        <v>23</v>
      </c>
      <c r="F12" s="61">
        <f>IFERROR(__xludf.DUMMYFUNCTION("""COMPUTED_VALUE"""),10.0)</f>
        <v>10</v>
      </c>
      <c r="G12" s="61">
        <f>IFERROR(__xludf.DUMMYFUNCTION("""COMPUTED_VALUE"""),0.0)</f>
        <v>0</v>
      </c>
      <c r="H12" s="61">
        <f>IFERROR(__xludf.DUMMYFUNCTION("""COMPUTED_VALUE"""),88.0)</f>
        <v>88</v>
      </c>
      <c r="I12" s="60" t="str">
        <f t="shared" si="1"/>
        <v>▮▮▮▮▮▮▮▮▮▮▮▮▮▮▮▯▯▯▯▯▯▯▯▯▯▯▯▯▯▯</v>
      </c>
      <c r="J12" s="62">
        <f t="shared" si="2"/>
        <v>8.8</v>
      </c>
      <c r="K12" s="62">
        <f t="shared" si="3"/>
        <v>67</v>
      </c>
      <c r="L12" s="60" t="s">
        <v>38</v>
      </c>
      <c r="M12" s="60">
        <f>SUMIF(Spelarstatistik!A$2:A179, L12, Spelarstatistik!B$2:B179)
</f>
        <v>0</v>
      </c>
      <c r="N12" s="60">
        <f>SUMIF(Spelarstatistik!A$2:A179, L12, Spelarstatistik!C$2:C179)
</f>
        <v>0</v>
      </c>
      <c r="O12" s="60">
        <f>SUMIF(Spelarstatistik!A$2:A179, L12, Spelarstatistik!D$2:D179)
</f>
        <v>6</v>
      </c>
      <c r="P12" s="60">
        <f>SUMIF(Spelarstatistik!A$2:A179, L12, Spelarstatistik!E$2:E179)
</f>
        <v>9</v>
      </c>
      <c r="Q12" s="60">
        <f>COUNTIF(Spelarstatistik!A$2:A179, L12)
</f>
        <v>2</v>
      </c>
      <c r="R12" s="60">
        <f>SUMIF(Matcher!AC$5:AC179, L12, Matcher!AH$5:AH179)
</f>
        <v>9</v>
      </c>
      <c r="S12" s="60">
        <f t="shared" si="4"/>
        <v>18</v>
      </c>
    </row>
    <row r="13">
      <c r="A13" s="60" t="str">
        <f>IFERROR(__xludf.DUMMYFUNCTION("""COMPUTED_VALUE"""),"Daniel Ö")</f>
        <v>Daniel Ö</v>
      </c>
      <c r="B13" s="61">
        <f>IFERROR(__xludf.DUMMYFUNCTION("""COMPUTED_VALUE"""),26.0)</f>
        <v>26</v>
      </c>
      <c r="C13" s="61">
        <f>IFERROR(__xludf.DUMMYFUNCTION("""COMPUTED_VALUE"""),12.0)</f>
        <v>12</v>
      </c>
      <c r="D13" s="61">
        <f>IFERROR(__xludf.DUMMYFUNCTION("""COMPUTED_VALUE"""),19.0)</f>
        <v>19</v>
      </c>
      <c r="E13" s="61">
        <f>IFERROR(__xludf.DUMMYFUNCTION("""COMPUTED_VALUE"""),15.0)</f>
        <v>15</v>
      </c>
      <c r="F13" s="61">
        <f>IFERROR(__xludf.DUMMYFUNCTION("""COMPUTED_VALUE"""),6.0)</f>
        <v>6</v>
      </c>
      <c r="G13" s="61">
        <f>IFERROR(__xludf.DUMMYFUNCTION("""COMPUTED_VALUE"""),0.0)</f>
        <v>0</v>
      </c>
      <c r="H13" s="61">
        <f>IFERROR(__xludf.DUMMYFUNCTION("""COMPUTED_VALUE"""),78.0)</f>
        <v>78</v>
      </c>
      <c r="I13" s="60" t="str">
        <f t="shared" si="1"/>
        <v>▮▮▮▮▮▮▮▮▮▮▮▮▮▯▯▯▯▯▯▯▯▯▯▯▯▯▯▯▯▯</v>
      </c>
      <c r="J13" s="62">
        <f t="shared" si="2"/>
        <v>13</v>
      </c>
      <c r="K13" s="62">
        <f t="shared" si="3"/>
        <v>84</v>
      </c>
      <c r="L13" s="60" t="s">
        <v>60</v>
      </c>
      <c r="M13" s="60">
        <f>SUMIF(Spelarstatistik!A$2:A179, L13, Spelarstatistik!B$2:B179)
</f>
        <v>3</v>
      </c>
      <c r="N13" s="60">
        <f>SUMIF(Spelarstatistik!A$2:A179, L13, Spelarstatistik!C$2:C179)
</f>
        <v>6</v>
      </c>
      <c r="O13" s="60">
        <f>SUMIF(Spelarstatistik!A$2:A179, L13, Spelarstatistik!D$2:D179)
</f>
        <v>14</v>
      </c>
      <c r="P13" s="60">
        <f>SUMIF(Spelarstatistik!A$2:A179, L13, Spelarstatistik!E$2:E179)
</f>
        <v>17</v>
      </c>
      <c r="Q13" s="60">
        <f>COUNTIF(Spelarstatistik!A$2:A179, L13)
</f>
        <v>5</v>
      </c>
      <c r="R13" s="60">
        <f>SUMIF(Matcher!AC$5:AC179, L13, Matcher!AH$5:AH179)
</f>
        <v>0</v>
      </c>
      <c r="S13" s="60">
        <f t="shared" si="4"/>
        <v>41</v>
      </c>
    </row>
    <row r="14">
      <c r="A14" s="60" t="str">
        <f>IFERROR(__xludf.DUMMYFUNCTION("""COMPUTED_VALUE"""),"Pontus S")</f>
        <v>Pontus S</v>
      </c>
      <c r="B14" s="61">
        <f>IFERROR(__xludf.DUMMYFUNCTION("""COMPUTED_VALUE"""),0.0)</f>
        <v>0</v>
      </c>
      <c r="C14" s="61">
        <f>IFERROR(__xludf.DUMMYFUNCTION("""COMPUTED_VALUE"""),21.0)</f>
        <v>21</v>
      </c>
      <c r="D14" s="61">
        <f>IFERROR(__xludf.DUMMYFUNCTION("""COMPUTED_VALUE"""),4.0)</f>
        <v>4</v>
      </c>
      <c r="E14" s="61">
        <f>IFERROR(__xludf.DUMMYFUNCTION("""COMPUTED_VALUE"""),1.0)</f>
        <v>1</v>
      </c>
      <c r="F14" s="61">
        <f>IFERROR(__xludf.DUMMYFUNCTION("""COMPUTED_VALUE"""),9.0)</f>
        <v>9</v>
      </c>
      <c r="G14" s="61">
        <f>IFERROR(__xludf.DUMMYFUNCTION("""COMPUTED_VALUE"""),6.0)</f>
        <v>6</v>
      </c>
      <c r="H14" s="61">
        <f>IFERROR(__xludf.DUMMYFUNCTION("""COMPUTED_VALUE"""),71.0)</f>
        <v>71</v>
      </c>
      <c r="I14" s="60" t="str">
        <f t="shared" si="1"/>
        <v>▮▮▮▮▮▮▮▮▮▮▮▮▯▯▯▯▯▯▯▯▯▯▯▯▯▯▯▯▯▯</v>
      </c>
      <c r="J14" s="62">
        <f t="shared" si="2"/>
        <v>7.9</v>
      </c>
      <c r="K14" s="62">
        <f t="shared" si="3"/>
        <v>59</v>
      </c>
      <c r="L14" s="60" t="s">
        <v>30</v>
      </c>
      <c r="M14" s="60">
        <f>SUMIF(Spelarstatistik!A$2:A179, L14, Spelarstatistik!B$2:B179)
</f>
        <v>3</v>
      </c>
      <c r="N14" s="60">
        <f>SUMIF(Spelarstatistik!A$2:A179, L14, Spelarstatistik!C$2:C179)
</f>
        <v>9</v>
      </c>
      <c r="O14" s="60">
        <f>SUMIF(Spelarstatistik!A$2:A179, L14, Spelarstatistik!D$2:D179)
</f>
        <v>56</v>
      </c>
      <c r="P14" s="60">
        <f>SUMIF(Spelarstatistik!A$2:A179, L14, Spelarstatistik!E$2:E179)
</f>
        <v>57</v>
      </c>
      <c r="Q14" s="60">
        <f>COUNTIF(Spelarstatistik!A$2:A179, L14)
</f>
        <v>14</v>
      </c>
      <c r="R14" s="60">
        <f>SUMIF(Matcher!AC$5:AC179, L14, Matcher!AH$5:AH179)
</f>
        <v>72</v>
      </c>
      <c r="S14" s="60">
        <f t="shared" si="4"/>
        <v>146</v>
      </c>
    </row>
    <row r="15">
      <c r="A15" s="60" t="str">
        <f>IFERROR(__xludf.DUMMYFUNCTION("""COMPUTED_VALUE"""),"Isak L")</f>
        <v>Isak L</v>
      </c>
      <c r="B15" s="61">
        <f>IFERROR(__xludf.DUMMYFUNCTION("""COMPUTED_VALUE"""),13.0)</f>
        <v>13</v>
      </c>
      <c r="C15" s="61">
        <f>IFERROR(__xludf.DUMMYFUNCTION("""COMPUTED_VALUE"""),11.0)</f>
        <v>11</v>
      </c>
      <c r="D15" s="61">
        <f>IFERROR(__xludf.DUMMYFUNCTION("""COMPUTED_VALUE"""),17.0)</f>
        <v>17</v>
      </c>
      <c r="E15" s="61">
        <f>IFERROR(__xludf.DUMMYFUNCTION("""COMPUTED_VALUE"""),27.0)</f>
        <v>27</v>
      </c>
      <c r="F15" s="61">
        <f>IFERROR(__xludf.DUMMYFUNCTION("""COMPUTED_VALUE"""),7.0)</f>
        <v>7</v>
      </c>
      <c r="G15" s="61">
        <f>IFERROR(__xludf.DUMMYFUNCTION("""COMPUTED_VALUE"""),0.0)</f>
        <v>0</v>
      </c>
      <c r="H15" s="61">
        <f>IFERROR(__xludf.DUMMYFUNCTION("""COMPUTED_VALUE"""),68.0)</f>
        <v>68</v>
      </c>
      <c r="I15" s="60" t="str">
        <f t="shared" si="1"/>
        <v>▮▮▮▮▮▮▮▮▮▮▮▮▯▯▯▯▯▯▯▯▯▯▯▯▯▯▯▯▯▯</v>
      </c>
      <c r="J15" s="62">
        <f t="shared" si="2"/>
        <v>9.7</v>
      </c>
      <c r="K15" s="62">
        <f t="shared" si="3"/>
        <v>70</v>
      </c>
      <c r="L15" s="60" t="s">
        <v>39</v>
      </c>
      <c r="M15" s="60">
        <f>SUMIF(Spelarstatistik!A$2:A179, L15, Spelarstatistik!B$2:B179)
</f>
        <v>9</v>
      </c>
      <c r="N15" s="60">
        <f>SUMIF(Spelarstatistik!A$2:A179, L15, Spelarstatistik!C$2:C179)
</f>
        <v>3</v>
      </c>
      <c r="O15" s="60">
        <f>SUMIF(Spelarstatistik!A$2:A179, L15, Spelarstatistik!D$2:D179)
</f>
        <v>8</v>
      </c>
      <c r="P15" s="60">
        <f>SUMIF(Spelarstatistik!A$2:A179, L15, Spelarstatistik!E$2:E179)
</f>
        <v>6</v>
      </c>
      <c r="Q15" s="60">
        <f>COUNTIF(Spelarstatistik!A$2:A179, L15)
</f>
        <v>2</v>
      </c>
      <c r="R15" s="60">
        <f>SUMIF(Matcher!AC$5:AC179, L15, Matcher!AH$5:AH179)
</f>
        <v>0</v>
      </c>
      <c r="S15" s="60">
        <f t="shared" si="4"/>
        <v>26</v>
      </c>
    </row>
    <row r="16">
      <c r="A16" s="60" t="str">
        <f>IFERROR(__xludf.DUMMYFUNCTION("""COMPUTED_VALUE"""),"Jesper N")</f>
        <v>Jesper N</v>
      </c>
      <c r="B16" s="61">
        <f>IFERROR(__xludf.DUMMYFUNCTION("""COMPUTED_VALUE"""),0.0)</f>
        <v>0</v>
      </c>
      <c r="C16" s="61">
        <f>IFERROR(__xludf.DUMMYFUNCTION("""COMPUTED_VALUE"""),7.0)</f>
        <v>7</v>
      </c>
      <c r="D16" s="61">
        <f>IFERROR(__xludf.DUMMYFUNCTION("""COMPUTED_VALUE"""),21.0)</f>
        <v>21</v>
      </c>
      <c r="E16" s="61">
        <f>IFERROR(__xludf.DUMMYFUNCTION("""COMPUTED_VALUE"""),15.0)</f>
        <v>15</v>
      </c>
      <c r="F16" s="61">
        <f>IFERROR(__xludf.DUMMYFUNCTION("""COMPUTED_VALUE"""),7.0)</f>
        <v>7</v>
      </c>
      <c r="G16" s="61">
        <f>IFERROR(__xludf.DUMMYFUNCTION("""COMPUTED_VALUE"""),20.0)</f>
        <v>20</v>
      </c>
      <c r="H16" s="61">
        <f>IFERROR(__xludf.DUMMYFUNCTION("""COMPUTED_VALUE"""),63.0)</f>
        <v>63</v>
      </c>
      <c r="I16" s="60" t="str">
        <f t="shared" si="1"/>
        <v>▮▮▮▮▮▮▮▮▮▮▮▯▯▯▯▯▯▯▯▯▯▯▯▯▯▯▯▯▯▯</v>
      </c>
      <c r="J16" s="62">
        <f t="shared" si="2"/>
        <v>9</v>
      </c>
      <c r="K16" s="62">
        <f t="shared" si="3"/>
        <v>65</v>
      </c>
      <c r="L16" s="60" t="s">
        <v>49</v>
      </c>
      <c r="M16" s="60">
        <f>SUMIF(Spelarstatistik!A$2:A179, L16, Spelarstatistik!B$2:B179)
</f>
        <v>11</v>
      </c>
      <c r="N16" s="60">
        <f>SUMIF(Spelarstatistik!A$2:A179, L16, Spelarstatistik!C$2:C179)
</f>
        <v>2</v>
      </c>
      <c r="O16" s="60">
        <f>SUMIF(Spelarstatistik!A$2:A179, L16, Spelarstatistik!D$2:D179)
</f>
        <v>16</v>
      </c>
      <c r="P16" s="60">
        <f>SUMIF(Spelarstatistik!A$2:A179, L16, Spelarstatistik!E$2:E179)
</f>
        <v>11</v>
      </c>
      <c r="Q16" s="60">
        <f>COUNTIF(Spelarstatistik!A$2:A179, L16)
</f>
        <v>5</v>
      </c>
      <c r="R16" s="60">
        <f>SUMIF(Matcher!AC$5:AC179, L16, Matcher!AH$5:AH179)
</f>
        <v>0</v>
      </c>
      <c r="S16" s="60">
        <f t="shared" si="4"/>
        <v>46</v>
      </c>
    </row>
    <row r="17">
      <c r="A17" s="60" t="str">
        <f>IFERROR(__xludf.DUMMYFUNCTION("""COMPUTED_VALUE"""),"Sebastian E")</f>
        <v>Sebastian E</v>
      </c>
      <c r="B17" s="61">
        <f>IFERROR(__xludf.DUMMYFUNCTION("""COMPUTED_VALUE"""),10.0)</f>
        <v>10</v>
      </c>
      <c r="C17" s="61">
        <f>IFERROR(__xludf.DUMMYFUNCTION("""COMPUTED_VALUE"""),8.0)</f>
        <v>8</v>
      </c>
      <c r="D17" s="61">
        <f>IFERROR(__xludf.DUMMYFUNCTION("""COMPUTED_VALUE"""),18.0)</f>
        <v>18</v>
      </c>
      <c r="E17" s="61">
        <f>IFERROR(__xludf.DUMMYFUNCTION("""COMPUTED_VALUE"""),21.0)</f>
        <v>21</v>
      </c>
      <c r="F17" s="61">
        <f>IFERROR(__xludf.DUMMYFUNCTION("""COMPUTED_VALUE"""),7.0)</f>
        <v>7</v>
      </c>
      <c r="G17" s="61">
        <f>IFERROR(__xludf.DUMMYFUNCTION("""COMPUTED_VALUE"""),0.0)</f>
        <v>0</v>
      </c>
      <c r="H17" s="61">
        <f>IFERROR(__xludf.DUMMYFUNCTION("""COMPUTED_VALUE"""),62.0)</f>
        <v>62</v>
      </c>
      <c r="I17" s="60" t="str">
        <f t="shared" si="1"/>
        <v>▮▮▮▮▮▮▮▮▮▮▮▯▯▯▯▯▯▯▯▯▯▯▯▯▯▯▯▯▯▯</v>
      </c>
      <c r="J17" s="62">
        <f t="shared" si="2"/>
        <v>8.9</v>
      </c>
      <c r="K17" s="62">
        <f t="shared" si="3"/>
        <v>64</v>
      </c>
      <c r="L17" s="60" t="s">
        <v>46</v>
      </c>
      <c r="M17" s="60">
        <f>SUMIF(Spelarstatistik!A$2:A179, L17, Spelarstatistik!B$2:B179)
</f>
        <v>3</v>
      </c>
      <c r="N17" s="60">
        <f>SUMIF(Spelarstatistik!A$2:A179, L17, Spelarstatistik!C$2:C179)
</f>
        <v>4</v>
      </c>
      <c r="O17" s="60">
        <f>SUMIF(Spelarstatistik!A$2:A179, L17, Spelarstatistik!D$2:D179)
</f>
        <v>6</v>
      </c>
      <c r="P17" s="60">
        <f>SUMIF(Spelarstatistik!A$2:A179, L17, Spelarstatistik!E$2:E179)
</f>
        <v>0</v>
      </c>
      <c r="Q17" s="60">
        <f>COUNTIF(Spelarstatistik!A$2:A179, L17)
</f>
        <v>1</v>
      </c>
      <c r="R17" s="60">
        <f>SUMIF(Matcher!AC$5:AC179, L17, Matcher!AH$5:AH179)
</f>
        <v>0</v>
      </c>
      <c r="S17" s="60">
        <f t="shared" si="4"/>
        <v>15</v>
      </c>
    </row>
    <row r="18">
      <c r="A18" s="60" t="str">
        <f>IFERROR(__xludf.DUMMYFUNCTION("""COMPUTED_VALUE"""),"Branislav D")</f>
        <v>Branislav D</v>
      </c>
      <c r="B18" s="61">
        <f>IFERROR(__xludf.DUMMYFUNCTION("""COMPUTED_VALUE"""),10.0)</f>
        <v>10</v>
      </c>
      <c r="C18" s="61">
        <f>IFERROR(__xludf.DUMMYFUNCTION("""COMPUTED_VALUE"""),9.0)</f>
        <v>9</v>
      </c>
      <c r="D18" s="61">
        <f>IFERROR(__xludf.DUMMYFUNCTION("""COMPUTED_VALUE"""),22.0)</f>
        <v>22</v>
      </c>
      <c r="E18" s="61">
        <f>IFERROR(__xludf.DUMMYFUNCTION("""COMPUTED_VALUE"""),14.0)</f>
        <v>14</v>
      </c>
      <c r="F18" s="61">
        <f>IFERROR(__xludf.DUMMYFUNCTION("""COMPUTED_VALUE"""),5.0)</f>
        <v>5</v>
      </c>
      <c r="G18" s="61">
        <f>IFERROR(__xludf.DUMMYFUNCTION("""COMPUTED_VALUE"""),3.0)</f>
        <v>3</v>
      </c>
      <c r="H18" s="61">
        <f>IFERROR(__xludf.DUMMYFUNCTION("""COMPUTED_VALUE"""),57.0)</f>
        <v>57</v>
      </c>
      <c r="I18" s="60" t="str">
        <f t="shared" si="1"/>
        <v>▮▮▮▮▮▮▮▮▮▮▯▯▯▯▯▯▯▯▯▯▯▯▯▯▯▯▯▯▯▯</v>
      </c>
      <c r="J18" s="62">
        <f t="shared" si="2"/>
        <v>11.4</v>
      </c>
      <c r="K18" s="62">
        <f t="shared" si="3"/>
        <v>80</v>
      </c>
      <c r="L18" s="60" t="s">
        <v>65</v>
      </c>
      <c r="M18" s="60">
        <f>SUMIF(Spelarstatistik!A$2:A179, L18, Spelarstatistik!B$2:B179)
</f>
        <v>1</v>
      </c>
      <c r="N18" s="60">
        <f>SUMIF(Spelarstatistik!A$2:A179, L18, Spelarstatistik!C$2:C179)
</f>
        <v>1</v>
      </c>
      <c r="O18" s="60">
        <f>SUMIF(Spelarstatistik!A$2:A179, L18, Spelarstatistik!D$2:D179)
</f>
        <v>9</v>
      </c>
      <c r="P18" s="60">
        <f>SUMIF(Spelarstatistik!A$2:A179, L18, Spelarstatistik!E$2:E179)
</f>
        <v>6</v>
      </c>
      <c r="Q18" s="60">
        <f>COUNTIF(Spelarstatistik!A$2:A179, L18)
</f>
        <v>2</v>
      </c>
      <c r="R18" s="60">
        <f>SUMIF(Matcher!AC$5:AC179, L18, Matcher!AH$5:AH179)
</f>
        <v>0</v>
      </c>
      <c r="S18" s="60">
        <f t="shared" si="4"/>
        <v>17</v>
      </c>
    </row>
    <row r="19">
      <c r="A19" s="60" t="str">
        <f>IFERROR(__xludf.DUMMYFUNCTION("""COMPUTED_VALUE"""),"Henrik O")</f>
        <v>Henrik O</v>
      </c>
      <c r="B19" s="61">
        <f>IFERROR(__xludf.DUMMYFUNCTION("""COMPUTED_VALUE"""),9.0)</f>
        <v>9</v>
      </c>
      <c r="C19" s="61">
        <f>IFERROR(__xludf.DUMMYFUNCTION("""COMPUTED_VALUE"""),4.0)</f>
        <v>4</v>
      </c>
      <c r="D19" s="61">
        <f>IFERROR(__xludf.DUMMYFUNCTION("""COMPUTED_VALUE"""),19.0)</f>
        <v>19</v>
      </c>
      <c r="E19" s="61">
        <f>IFERROR(__xludf.DUMMYFUNCTION("""COMPUTED_VALUE"""),14.0)</f>
        <v>14</v>
      </c>
      <c r="F19" s="61">
        <f>IFERROR(__xludf.DUMMYFUNCTION("""COMPUTED_VALUE"""),5.0)</f>
        <v>5</v>
      </c>
      <c r="G19" s="61">
        <f>IFERROR(__xludf.DUMMYFUNCTION("""COMPUTED_VALUE"""),0.0)</f>
        <v>0</v>
      </c>
      <c r="H19" s="61">
        <f>IFERROR(__xludf.DUMMYFUNCTION("""COMPUTED_VALUE"""),48.0)</f>
        <v>48</v>
      </c>
      <c r="I19" s="60" t="str">
        <f t="shared" si="1"/>
        <v>▮▮▮▮▮▮▮▮▯▯▯▯▯▯▯▯▯▯▯▯▯▯▯▯▯▯▯▯▯▯</v>
      </c>
      <c r="J19" s="62">
        <f t="shared" si="2"/>
        <v>9.6</v>
      </c>
      <c r="K19" s="62">
        <f t="shared" si="3"/>
        <v>67</v>
      </c>
      <c r="L19" s="60" t="s">
        <v>59</v>
      </c>
      <c r="M19" s="60">
        <f>SUMIF(Spelarstatistik!A$2:A179, L19, Spelarstatistik!B$2:B179)
</f>
        <v>4</v>
      </c>
      <c r="N19" s="60">
        <f>SUMIF(Spelarstatistik!A$2:A179, L19, Spelarstatistik!C$2:C179)
</f>
        <v>7</v>
      </c>
      <c r="O19" s="60">
        <f>SUMIF(Spelarstatistik!A$2:A179, L19, Spelarstatistik!D$2:D179)
</f>
        <v>12</v>
      </c>
      <c r="P19" s="60">
        <f>SUMIF(Spelarstatistik!A$2:A179, L19, Spelarstatistik!E$2:E179)
</f>
        <v>14</v>
      </c>
      <c r="Q19" s="60">
        <f>COUNTIF(Spelarstatistik!A$2:A179, L19)
</f>
        <v>4</v>
      </c>
      <c r="R19" s="60">
        <f>SUMIF(Matcher!AC$5:AC179, L19, Matcher!AH$5:AH179)
</f>
        <v>0</v>
      </c>
      <c r="S19" s="60">
        <f t="shared" si="4"/>
        <v>37</v>
      </c>
    </row>
    <row r="20">
      <c r="A20" s="60" t="str">
        <f>IFERROR(__xludf.DUMMYFUNCTION("""COMPUTED_VALUE"""),"Casper W")</f>
        <v>Casper W</v>
      </c>
      <c r="B20" s="61">
        <f>IFERROR(__xludf.DUMMYFUNCTION("""COMPUTED_VALUE"""),8.0)</f>
        <v>8</v>
      </c>
      <c r="C20" s="61">
        <f>IFERROR(__xludf.DUMMYFUNCTION("""COMPUTED_VALUE"""),1.0)</f>
        <v>1</v>
      </c>
      <c r="D20" s="61">
        <f>IFERROR(__xludf.DUMMYFUNCTION("""COMPUTED_VALUE"""),13.0)</f>
        <v>13</v>
      </c>
      <c r="E20" s="61">
        <f>IFERROR(__xludf.DUMMYFUNCTION("""COMPUTED_VALUE"""),26.0)</f>
        <v>26</v>
      </c>
      <c r="F20" s="61">
        <f>IFERROR(__xludf.DUMMYFUNCTION("""COMPUTED_VALUE"""),6.0)</f>
        <v>6</v>
      </c>
      <c r="G20" s="61">
        <f>IFERROR(__xludf.DUMMYFUNCTION("""COMPUTED_VALUE"""),0.0)</f>
        <v>0</v>
      </c>
      <c r="H20" s="61">
        <f>IFERROR(__xludf.DUMMYFUNCTION("""COMPUTED_VALUE"""),46.0)</f>
        <v>46</v>
      </c>
      <c r="I20" s="60" t="str">
        <f t="shared" si="1"/>
        <v>▮▮▮▮▮▮▮▮▯▯▯▯▯▯▯▯▯▯▯▯▯▯▯▯▯▯▯▯▯▯</v>
      </c>
      <c r="J20" s="62">
        <f t="shared" si="2"/>
        <v>7.7</v>
      </c>
      <c r="K20" s="62">
        <f t="shared" si="3"/>
        <v>55</v>
      </c>
      <c r="L20" s="60" t="s">
        <v>69</v>
      </c>
      <c r="M20" s="60">
        <f>SUMIF(Spelarstatistik!A$2:A179, L20, Spelarstatistik!B$2:B179)
</f>
        <v>1</v>
      </c>
      <c r="N20" s="60">
        <f>SUMIF(Spelarstatistik!A$2:A179, L20, Spelarstatistik!C$2:C179)
</f>
        <v>1</v>
      </c>
      <c r="O20" s="60">
        <f>SUMIF(Spelarstatistik!A$2:A179, L20, Spelarstatistik!D$2:D179)
</f>
        <v>5</v>
      </c>
      <c r="P20" s="60">
        <f>SUMIF(Spelarstatistik!A$2:A179, L20, Spelarstatistik!E$2:E179)
</f>
        <v>1</v>
      </c>
      <c r="Q20" s="60">
        <f>COUNTIF(Spelarstatistik!A$2:A179, L20)
</f>
        <v>1</v>
      </c>
      <c r="R20" s="60">
        <f>SUMIF(Matcher!AC$5:AC179, L20, Matcher!AH$5:AH179)
</f>
        <v>0</v>
      </c>
      <c r="S20" s="60">
        <f t="shared" si="4"/>
        <v>10</v>
      </c>
    </row>
    <row r="21">
      <c r="A21" s="60" t="str">
        <f>IFERROR(__xludf.DUMMYFUNCTION("""COMPUTED_VALUE"""),"Eskil K")</f>
        <v>Eskil K</v>
      </c>
      <c r="B21" s="61">
        <f>IFERROR(__xludf.DUMMYFUNCTION("""COMPUTED_VALUE"""),11.0)</f>
        <v>11</v>
      </c>
      <c r="C21" s="61">
        <f>IFERROR(__xludf.DUMMYFUNCTION("""COMPUTED_VALUE"""),2.0)</f>
        <v>2</v>
      </c>
      <c r="D21" s="61">
        <f>IFERROR(__xludf.DUMMYFUNCTION("""COMPUTED_VALUE"""),16.0)</f>
        <v>16</v>
      </c>
      <c r="E21" s="61">
        <f>IFERROR(__xludf.DUMMYFUNCTION("""COMPUTED_VALUE"""),11.0)</f>
        <v>11</v>
      </c>
      <c r="F21" s="61">
        <f>IFERROR(__xludf.DUMMYFUNCTION("""COMPUTED_VALUE"""),5.0)</f>
        <v>5</v>
      </c>
      <c r="G21" s="61">
        <f>IFERROR(__xludf.DUMMYFUNCTION("""COMPUTED_VALUE"""),0.0)</f>
        <v>0</v>
      </c>
      <c r="H21" s="61">
        <f>IFERROR(__xludf.DUMMYFUNCTION("""COMPUTED_VALUE"""),46.0)</f>
        <v>46</v>
      </c>
      <c r="I21" s="60" t="str">
        <f t="shared" si="1"/>
        <v>▮▮▮▮▮▮▮▮▯▯▯▯▯▯▯▯▯▯▯▯▯▯▯▯▯▯▯▯▯▯</v>
      </c>
      <c r="J21" s="62">
        <f t="shared" si="2"/>
        <v>9.2</v>
      </c>
      <c r="K21" s="62">
        <f t="shared" si="3"/>
        <v>65</v>
      </c>
      <c r="L21" s="63" t="s">
        <v>76</v>
      </c>
      <c r="M21" s="60">
        <f>SUMIF(Spelarstatistik!A$2:A179, L21, Spelarstatistik!B$2:B179)
</f>
        <v>5</v>
      </c>
      <c r="N21" s="60">
        <f>SUMIF(Spelarstatistik!A$2:A179, L21, Spelarstatistik!C$2:C179)
</f>
        <v>0</v>
      </c>
      <c r="O21" s="60">
        <f>SUMIF(Spelarstatistik!A$2:A179, L21, Spelarstatistik!D$2:D179)
</f>
        <v>4</v>
      </c>
      <c r="P21" s="60">
        <f>SUMIF(Spelarstatistik!A$2:A179, L21, Spelarstatistik!E$2:E179)
</f>
        <v>2</v>
      </c>
      <c r="Q21" s="60">
        <f>COUNTIF(Spelarstatistik!A$2:A179, L21)
</f>
        <v>1</v>
      </c>
      <c r="R21" s="60">
        <f>SUMIF(Matcher!AC$5:AC179, L21, Matcher!AH$5:AH179)
</f>
        <v>0</v>
      </c>
      <c r="S21" s="60">
        <f t="shared" si="4"/>
        <v>12</v>
      </c>
    </row>
    <row r="22">
      <c r="A22" s="60" t="str">
        <f>IFERROR(__xludf.DUMMYFUNCTION("""COMPUTED_VALUE"""),"Milos G")</f>
        <v>Milos G</v>
      </c>
      <c r="B22" s="61">
        <f>IFERROR(__xludf.DUMMYFUNCTION("""COMPUTED_VALUE"""),14.0)</f>
        <v>14</v>
      </c>
      <c r="C22" s="61">
        <f>IFERROR(__xludf.DUMMYFUNCTION("""COMPUTED_VALUE"""),9.0)</f>
        <v>9</v>
      </c>
      <c r="D22" s="61">
        <f>IFERROR(__xludf.DUMMYFUNCTION("""COMPUTED_VALUE"""),13.0)</f>
        <v>13</v>
      </c>
      <c r="E22" s="61">
        <f>IFERROR(__xludf.DUMMYFUNCTION("""COMPUTED_VALUE"""),6.0)</f>
        <v>6</v>
      </c>
      <c r="F22" s="61">
        <f>IFERROR(__xludf.DUMMYFUNCTION("""COMPUTED_VALUE"""),3.0)</f>
        <v>3</v>
      </c>
      <c r="G22" s="61">
        <f>IFERROR(__xludf.DUMMYFUNCTION("""COMPUTED_VALUE"""),0.0)</f>
        <v>0</v>
      </c>
      <c r="H22" s="61">
        <f>IFERROR(__xludf.DUMMYFUNCTION("""COMPUTED_VALUE"""),45.0)</f>
        <v>45</v>
      </c>
      <c r="I22" s="60" t="str">
        <f t="shared" si="1"/>
        <v>▮▮▮▮▮▮▮▮▯▯▯▯▯▯▯▯▯▯▯▯▯▯▯▯▯▯▯▯▯▯</v>
      </c>
      <c r="J22" s="62">
        <f t="shared" si="2"/>
        <v>15</v>
      </c>
      <c r="K22" s="62">
        <f t="shared" si="3"/>
        <v>80</v>
      </c>
      <c r="L22" s="63" t="s">
        <v>68</v>
      </c>
      <c r="M22" s="60">
        <f>SUMIF(Spelarstatistik!A$2:A179, L22, Spelarstatistik!B$2:B179)
</f>
        <v>0</v>
      </c>
      <c r="N22" s="60">
        <f>SUMIF(Spelarstatistik!A$2:A179, L22, Spelarstatistik!C$2:C179)
</f>
        <v>0</v>
      </c>
      <c r="O22" s="60">
        <f>SUMIF(Spelarstatistik!A$2:A179, L22, Spelarstatistik!D$2:D179)
</f>
        <v>3</v>
      </c>
      <c r="P22" s="60">
        <f>SUMIF(Spelarstatistik!A$2:A179, L22, Spelarstatistik!E$2:E179)
</f>
        <v>1</v>
      </c>
      <c r="Q22" s="60">
        <f>COUNTIF(Spelarstatistik!A$2:A179, L22)
</f>
        <v>1</v>
      </c>
      <c r="R22" s="60">
        <f>SUMIF(Matcher!AC$5:AC179, L22, Matcher!AH$5:AH179)
</f>
        <v>0</v>
      </c>
      <c r="S22" s="60">
        <f t="shared" si="4"/>
        <v>7</v>
      </c>
    </row>
    <row r="23">
      <c r="A23" s="60" t="str">
        <f>IFERROR(__xludf.DUMMYFUNCTION("""COMPUTED_VALUE"""),"Benjamin L")</f>
        <v>Benjamin L</v>
      </c>
      <c r="B23" s="61">
        <f>IFERROR(__xludf.DUMMYFUNCTION("""COMPUTED_VALUE"""),1.0)</f>
        <v>1</v>
      </c>
      <c r="C23" s="61">
        <f>IFERROR(__xludf.DUMMYFUNCTION("""COMPUTED_VALUE"""),4.0)</f>
        <v>4</v>
      </c>
      <c r="D23" s="61">
        <f>IFERROR(__xludf.DUMMYFUNCTION("""COMPUTED_VALUE"""),16.0)</f>
        <v>16</v>
      </c>
      <c r="E23" s="61">
        <f>IFERROR(__xludf.DUMMYFUNCTION("""COMPUTED_VALUE"""),14.0)</f>
        <v>14</v>
      </c>
      <c r="F23" s="61">
        <f>IFERROR(__xludf.DUMMYFUNCTION("""COMPUTED_VALUE"""),6.0)</f>
        <v>6</v>
      </c>
      <c r="G23" s="61">
        <f>IFERROR(__xludf.DUMMYFUNCTION("""COMPUTED_VALUE"""),0.0)</f>
        <v>0</v>
      </c>
      <c r="H23" s="61">
        <f>IFERROR(__xludf.DUMMYFUNCTION("""COMPUTED_VALUE"""),43.0)</f>
        <v>43</v>
      </c>
      <c r="I23" s="60" t="str">
        <f t="shared" si="1"/>
        <v>▮▮▮▮▮▮▮▯▯▯▯▯▯▯▯▯▯▯▯▯▯▯▯▯▯▯▯▯▯▯</v>
      </c>
      <c r="J23" s="62">
        <f t="shared" si="2"/>
        <v>7.2</v>
      </c>
      <c r="K23" s="62">
        <f t="shared" si="3"/>
        <v>51</v>
      </c>
      <c r="L23" s="60" t="s">
        <v>66</v>
      </c>
      <c r="M23" s="60">
        <f>SUMIF(Spelarstatistik!A$2:A179, L23, Spelarstatistik!B$2:B179)
</f>
        <v>9</v>
      </c>
      <c r="N23" s="60">
        <f>SUMIF(Spelarstatistik!A$2:A179, L23, Spelarstatistik!C$2:C179)
</f>
        <v>4</v>
      </c>
      <c r="O23" s="60">
        <f>SUMIF(Spelarstatistik!A$2:A179, L23, Spelarstatistik!D$2:D179)
</f>
        <v>19</v>
      </c>
      <c r="P23" s="60">
        <f>SUMIF(Spelarstatistik!A$2:A179, L23, Spelarstatistik!E$2:E179)
</f>
        <v>14</v>
      </c>
      <c r="Q23" s="60">
        <f>COUNTIF(Spelarstatistik!A$2:A179, L23)
</f>
        <v>5</v>
      </c>
      <c r="R23" s="60">
        <f>SUMIF(Matcher!AC$5:AC179, L23, Matcher!AH$5:AH179)
</f>
        <v>0</v>
      </c>
      <c r="S23" s="60">
        <f t="shared" si="4"/>
        <v>48</v>
      </c>
    </row>
    <row r="24">
      <c r="A24" s="60" t="str">
        <f>IFERROR(__xludf.DUMMYFUNCTION("""COMPUTED_VALUE"""),"Albert A")</f>
        <v>Albert A</v>
      </c>
      <c r="B24" s="61">
        <f>IFERROR(__xludf.DUMMYFUNCTION("""COMPUTED_VALUE"""),3.0)</f>
        <v>3</v>
      </c>
      <c r="C24" s="61">
        <f>IFERROR(__xludf.DUMMYFUNCTION("""COMPUTED_VALUE"""),2.0)</f>
        <v>2</v>
      </c>
      <c r="D24" s="61">
        <f>IFERROR(__xludf.DUMMYFUNCTION("""COMPUTED_VALUE"""),13.0)</f>
        <v>13</v>
      </c>
      <c r="E24" s="61">
        <f>IFERROR(__xludf.DUMMYFUNCTION("""COMPUTED_VALUE"""),19.0)</f>
        <v>19</v>
      </c>
      <c r="F24" s="61">
        <f>IFERROR(__xludf.DUMMYFUNCTION("""COMPUTED_VALUE"""),6.0)</f>
        <v>6</v>
      </c>
      <c r="G24" s="61">
        <f>IFERROR(__xludf.DUMMYFUNCTION("""COMPUTED_VALUE"""),0.0)</f>
        <v>0</v>
      </c>
      <c r="H24" s="61">
        <f>IFERROR(__xludf.DUMMYFUNCTION("""COMPUTED_VALUE"""),42.0)</f>
        <v>42</v>
      </c>
      <c r="I24" s="60" t="str">
        <f t="shared" si="1"/>
        <v>▮▮▮▮▮▮▮▯▯▯▯▯▯▯▯▯▯▯▯▯▯▯▯▯▯▯▯▯▯▯</v>
      </c>
      <c r="J24" s="62">
        <f t="shared" si="2"/>
        <v>7</v>
      </c>
      <c r="K24" s="62">
        <f t="shared" si="3"/>
        <v>50</v>
      </c>
      <c r="L24" s="60" t="s">
        <v>47</v>
      </c>
      <c r="M24" s="60">
        <f>SUMIF(Spelarstatistik!A$2:A179, L24, Spelarstatistik!B$2:B179)
</f>
        <v>1</v>
      </c>
      <c r="N24" s="60">
        <f>SUMIF(Spelarstatistik!A$2:A179, L24, Spelarstatistik!C$2:C179)
</f>
        <v>1</v>
      </c>
      <c r="O24" s="60">
        <f>SUMIF(Spelarstatistik!A$2:A179, L24, Spelarstatistik!D$2:D179)
</f>
        <v>0</v>
      </c>
      <c r="P24" s="60">
        <f>SUMIF(Spelarstatistik!A$2:A179, L24, Spelarstatistik!E$2:E179)
</f>
        <v>7</v>
      </c>
      <c r="Q24" s="60">
        <f>COUNTIF(Spelarstatistik!A$2:A179, L24)
</f>
        <v>1</v>
      </c>
      <c r="R24" s="60">
        <f>SUMIF(Matcher!AC$5:AC179, L24, Matcher!AH$5:AH179)
</f>
        <v>0</v>
      </c>
      <c r="S24" s="60">
        <f t="shared" si="4"/>
        <v>7</v>
      </c>
    </row>
    <row r="25">
      <c r="A25" s="60" t="str">
        <f>IFERROR(__xludf.DUMMYFUNCTION("""COMPUTED_VALUE"""),"Pontus B")</f>
        <v>Pontus B</v>
      </c>
      <c r="B25" s="61">
        <f>IFERROR(__xludf.DUMMYFUNCTION("""COMPUTED_VALUE"""),9.0)</f>
        <v>9</v>
      </c>
      <c r="C25" s="61">
        <f>IFERROR(__xludf.DUMMYFUNCTION("""COMPUTED_VALUE"""),8.0)</f>
        <v>8</v>
      </c>
      <c r="D25" s="61">
        <f>IFERROR(__xludf.DUMMYFUNCTION("""COMPUTED_VALUE"""),9.0)</f>
        <v>9</v>
      </c>
      <c r="E25" s="61">
        <f>IFERROR(__xludf.DUMMYFUNCTION("""COMPUTED_VALUE"""),12.0)</f>
        <v>12</v>
      </c>
      <c r="F25" s="61">
        <f>IFERROR(__xludf.DUMMYFUNCTION("""COMPUTED_VALUE"""),4.0)</f>
        <v>4</v>
      </c>
      <c r="G25" s="61">
        <f>IFERROR(__xludf.DUMMYFUNCTION("""COMPUTED_VALUE"""),0.0)</f>
        <v>0</v>
      </c>
      <c r="H25" s="61">
        <f>IFERROR(__xludf.DUMMYFUNCTION("""COMPUTED_VALUE"""),42.0)</f>
        <v>42</v>
      </c>
      <c r="I25" s="60" t="str">
        <f t="shared" si="1"/>
        <v>▮▮▮▮▮▮▮▯▯▯▯▯▯▯▯▯▯▯▯▯▯▯▯▯▯▯▯▯▯▯</v>
      </c>
      <c r="J25" s="62">
        <f t="shared" si="2"/>
        <v>10.5</v>
      </c>
      <c r="K25" s="62">
        <f t="shared" si="3"/>
        <v>73</v>
      </c>
      <c r="L25" s="60" t="s">
        <v>41</v>
      </c>
      <c r="M25" s="60">
        <f>SUMIF(Spelarstatistik!A$2:A179, L25, Spelarstatistik!B$2:B179)
</f>
        <v>13</v>
      </c>
      <c r="N25" s="60">
        <f>SUMIF(Spelarstatistik!A$2:A179, L25, Spelarstatistik!C$2:C179)
</f>
        <v>11</v>
      </c>
      <c r="O25" s="60">
        <f>SUMIF(Spelarstatistik!A$2:A179, L25, Spelarstatistik!D$2:D179)
</f>
        <v>17</v>
      </c>
      <c r="P25" s="60">
        <f>SUMIF(Spelarstatistik!A$2:A179, L25, Spelarstatistik!E$2:E179)
</f>
        <v>27</v>
      </c>
      <c r="Q25" s="60">
        <f>COUNTIF(Spelarstatistik!A$2:A179, L25)
</f>
        <v>7</v>
      </c>
      <c r="R25" s="60">
        <f>SUMIF(Matcher!AC$5:AC179, L25, Matcher!AH$5:AH179)
</f>
        <v>0</v>
      </c>
      <c r="S25" s="60">
        <f t="shared" si="4"/>
        <v>68</v>
      </c>
    </row>
    <row r="26">
      <c r="A26" s="60" t="str">
        <f>IFERROR(__xludf.DUMMYFUNCTION("""COMPUTED_VALUE"""),"Shoresh A")</f>
        <v>Shoresh A</v>
      </c>
      <c r="B26" s="64">
        <f>IFERROR(__xludf.DUMMYFUNCTION("""COMPUTED_VALUE"""),6.0)</f>
        <v>6</v>
      </c>
      <c r="C26" s="61">
        <f>IFERROR(__xludf.DUMMYFUNCTION("""COMPUTED_VALUE"""),8.0)</f>
        <v>8</v>
      </c>
      <c r="D26" s="61">
        <f>IFERROR(__xludf.DUMMYFUNCTION("""COMPUTED_VALUE"""),15.0)</f>
        <v>15</v>
      </c>
      <c r="E26" s="61">
        <f>IFERROR(__xludf.DUMMYFUNCTION("""COMPUTED_VALUE"""),8.0)</f>
        <v>8</v>
      </c>
      <c r="F26" s="61">
        <f>IFERROR(__xludf.DUMMYFUNCTION("""COMPUTED_VALUE"""),4.0)</f>
        <v>4</v>
      </c>
      <c r="G26" s="61">
        <f>IFERROR(__xludf.DUMMYFUNCTION("""COMPUTED_VALUE"""),0.0)</f>
        <v>0</v>
      </c>
      <c r="H26" s="61">
        <f>IFERROR(__xludf.DUMMYFUNCTION("""COMPUTED_VALUE"""),42.0)</f>
        <v>42</v>
      </c>
      <c r="I26" s="60" t="str">
        <f t="shared" si="1"/>
        <v>▮▮▮▮▮▮▮▯▯▯▯▯▯▯▯▯▯▯▯▯▯▯▯▯▯▯▯▯▯▯</v>
      </c>
      <c r="J26" s="62">
        <f t="shared" si="2"/>
        <v>10.5</v>
      </c>
      <c r="K26" s="62">
        <f t="shared" si="3"/>
        <v>73</v>
      </c>
      <c r="L26" s="60" t="s">
        <v>58</v>
      </c>
      <c r="M26" s="60">
        <f>SUMIF(Spelarstatistik!A$2:A179, L26, Spelarstatistik!B$2:B179)
</f>
        <v>27</v>
      </c>
      <c r="N26" s="60">
        <f>SUMIF(Spelarstatistik!A$2:A179, L26, Spelarstatistik!C$2:C179)
</f>
        <v>24</v>
      </c>
      <c r="O26" s="60">
        <f>SUMIF(Spelarstatistik!A$2:A179, L26, Spelarstatistik!D$2:D179)
</f>
        <v>35</v>
      </c>
      <c r="P26" s="60">
        <f>SUMIF(Spelarstatistik!A$2:A179, L26, Spelarstatistik!E$2:E179)
</f>
        <v>39</v>
      </c>
      <c r="Q26" s="60">
        <f>COUNTIF(Spelarstatistik!A$2:A179, L26)
</f>
        <v>12</v>
      </c>
      <c r="R26" s="60">
        <f>SUMIF(Matcher!AC$5:AC179, L26, Matcher!AH$5:AH179)
</f>
        <v>0</v>
      </c>
      <c r="S26" s="60">
        <f t="shared" si="4"/>
        <v>129</v>
      </c>
    </row>
    <row r="27">
      <c r="A27" s="60" t="str">
        <f>IFERROR(__xludf.DUMMYFUNCTION("""COMPUTED_VALUE"""),"Emil A")</f>
        <v>Emil A</v>
      </c>
      <c r="B27" s="64">
        <f>IFERROR(__xludf.DUMMYFUNCTION("""COMPUTED_VALUE"""),3.0)</f>
        <v>3</v>
      </c>
      <c r="C27" s="61">
        <f>IFERROR(__xludf.DUMMYFUNCTION("""COMPUTED_VALUE"""),6.0)</f>
        <v>6</v>
      </c>
      <c r="D27" s="61">
        <f>IFERROR(__xludf.DUMMYFUNCTION("""COMPUTED_VALUE"""),14.0)</f>
        <v>14</v>
      </c>
      <c r="E27" s="61">
        <f>IFERROR(__xludf.DUMMYFUNCTION("""COMPUTED_VALUE"""),17.0)</f>
        <v>17</v>
      </c>
      <c r="F27" s="61">
        <f>IFERROR(__xludf.DUMMYFUNCTION("""COMPUTED_VALUE"""),5.0)</f>
        <v>5</v>
      </c>
      <c r="G27" s="61">
        <f>IFERROR(__xludf.DUMMYFUNCTION("""COMPUTED_VALUE"""),0.0)</f>
        <v>0</v>
      </c>
      <c r="H27" s="61">
        <f>IFERROR(__xludf.DUMMYFUNCTION("""COMPUTED_VALUE"""),41.0)</f>
        <v>41</v>
      </c>
      <c r="I27" s="60" t="str">
        <f t="shared" si="1"/>
        <v>▮▮▮▮▮▮▮▯▯▯▯▯▯▯▯▯▯▯▯▯▯▯▯▯▯▯▯▯▯▯</v>
      </c>
      <c r="J27" s="62">
        <f t="shared" si="2"/>
        <v>8.2</v>
      </c>
      <c r="K27" s="62">
        <f t="shared" si="3"/>
        <v>58</v>
      </c>
      <c r="L27" s="60" t="s">
        <v>36</v>
      </c>
      <c r="M27" s="60">
        <f>SUMIF(Spelarstatistik!A$2:A179, L27, Spelarstatistik!B$2:B179)
</f>
        <v>36</v>
      </c>
      <c r="N27" s="60">
        <f>SUMIF(Spelarstatistik!A$2:A179, L27, Spelarstatistik!C$2:C179)
</f>
        <v>37</v>
      </c>
      <c r="O27" s="60">
        <f>SUMIF(Spelarstatistik!A$2:A179, L27, Spelarstatistik!D$2:D179)
</f>
        <v>52</v>
      </c>
      <c r="P27" s="60">
        <f>SUMIF(Spelarstatistik!A$2:A179, L27, Spelarstatistik!E$2:E179)
</f>
        <v>32</v>
      </c>
      <c r="Q27" s="60">
        <f>COUNTIF(Spelarstatistik!A$2:A179, L27)
</f>
        <v>15</v>
      </c>
      <c r="R27" s="60">
        <f>SUMIF(Matcher!AC$5:AC179, L27, Matcher!AH$5:AH179)
</f>
        <v>0</v>
      </c>
      <c r="S27" s="60">
        <f t="shared" si="4"/>
        <v>174</v>
      </c>
    </row>
    <row r="28">
      <c r="A28" s="60" t="str">
        <f>IFERROR(__xludf.DUMMYFUNCTION("""COMPUTED_VALUE"""),"Joel C")</f>
        <v>Joel C</v>
      </c>
      <c r="B28" s="64">
        <f>IFERROR(__xludf.DUMMYFUNCTION("""COMPUTED_VALUE"""),4.0)</f>
        <v>4</v>
      </c>
      <c r="C28" s="61">
        <f>IFERROR(__xludf.DUMMYFUNCTION("""COMPUTED_VALUE"""),13.0)</f>
        <v>13</v>
      </c>
      <c r="D28" s="61">
        <f>IFERROR(__xludf.DUMMYFUNCTION("""COMPUTED_VALUE"""),12.0)</f>
        <v>12</v>
      </c>
      <c r="E28" s="61">
        <f>IFERROR(__xludf.DUMMYFUNCTION("""COMPUTED_VALUE"""),7.0)</f>
        <v>7</v>
      </c>
      <c r="F28" s="61">
        <f>IFERROR(__xludf.DUMMYFUNCTION("""COMPUTED_VALUE"""),3.0)</f>
        <v>3</v>
      </c>
      <c r="G28" s="61">
        <f>IFERROR(__xludf.DUMMYFUNCTION("""COMPUTED_VALUE"""),0.0)</f>
        <v>0</v>
      </c>
      <c r="H28" s="61">
        <f>IFERROR(__xludf.DUMMYFUNCTION("""COMPUTED_VALUE"""),38.0)</f>
        <v>38</v>
      </c>
      <c r="I28" s="60" t="str">
        <f t="shared" si="1"/>
        <v>▮▮▮▮▮▮▮▯▯▯▯▯▯▯▯▯▯▯▯▯▯▯▯▯▯▯▯▯▯▯</v>
      </c>
      <c r="J28" s="62">
        <f t="shared" si="2"/>
        <v>12.7</v>
      </c>
      <c r="K28" s="62">
        <f t="shared" si="3"/>
        <v>79</v>
      </c>
      <c r="L28" s="60" t="s">
        <v>70</v>
      </c>
      <c r="M28" s="60">
        <f>SUMIF(Spelarstatistik!A$2:A179, L28, Spelarstatistik!B$2:B179)
</f>
        <v>0</v>
      </c>
      <c r="N28" s="60">
        <f>SUMIF(Spelarstatistik!A$2:A179, L28, Spelarstatistik!C$2:C179)
</f>
        <v>0</v>
      </c>
      <c r="O28" s="60">
        <f>SUMIF(Spelarstatistik!A$2:A179, L28, Spelarstatistik!D$2:D179)
</f>
        <v>4</v>
      </c>
      <c r="P28" s="60">
        <f>SUMIF(Spelarstatistik!A$2:A179, L28, Spelarstatistik!E$2:E179)
</f>
        <v>14</v>
      </c>
      <c r="Q28" s="60">
        <f>COUNTIF(Spelarstatistik!A$2:A179, L28)
</f>
        <v>3</v>
      </c>
      <c r="R28" s="60">
        <f>SUMIF(Matcher!AC$5:AC179, L28, Matcher!AH$5:AH179)
</f>
        <v>0</v>
      </c>
      <c r="S28" s="60">
        <f t="shared" si="4"/>
        <v>17</v>
      </c>
    </row>
    <row r="29">
      <c r="A29" s="60" t="str">
        <f>IFERROR(__xludf.DUMMYFUNCTION("""COMPUTED_VALUE"""),"George T")</f>
        <v>George T</v>
      </c>
      <c r="B29" s="64">
        <f>IFERROR(__xludf.DUMMYFUNCTION("""COMPUTED_VALUE"""),4.0)</f>
        <v>4</v>
      </c>
      <c r="C29" s="64">
        <f>IFERROR(__xludf.DUMMYFUNCTION("""COMPUTED_VALUE"""),7.0)</f>
        <v>7</v>
      </c>
      <c r="D29" s="61">
        <f>IFERROR(__xludf.DUMMYFUNCTION("""COMPUTED_VALUE"""),12.0)</f>
        <v>12</v>
      </c>
      <c r="E29" s="61">
        <f>IFERROR(__xludf.DUMMYFUNCTION("""COMPUTED_VALUE"""),14.0)</f>
        <v>14</v>
      </c>
      <c r="F29" s="61">
        <f>IFERROR(__xludf.DUMMYFUNCTION("""COMPUTED_VALUE"""),4.0)</f>
        <v>4</v>
      </c>
      <c r="G29" s="61">
        <f>IFERROR(__xludf.DUMMYFUNCTION("""COMPUTED_VALUE"""),0.0)</f>
        <v>0</v>
      </c>
      <c r="H29" s="61">
        <f>IFERROR(__xludf.DUMMYFUNCTION("""COMPUTED_VALUE"""),37.0)</f>
        <v>37</v>
      </c>
      <c r="I29" s="60" t="str">
        <f t="shared" si="1"/>
        <v>▮▮▮▮▮▮▯▯▯▯▯▯▯▯▯▯▯▯▯▯▯▯▯▯▯▯▯▯▯▯</v>
      </c>
      <c r="J29" s="62">
        <f t="shared" si="2"/>
        <v>9.3</v>
      </c>
      <c r="K29" s="62">
        <f t="shared" si="3"/>
        <v>64</v>
      </c>
      <c r="L29" s="60" t="s">
        <v>42</v>
      </c>
      <c r="M29" s="60">
        <f>SUMIF(Spelarstatistik!A$2:A179, L29, Spelarstatistik!B$2:B179)
</f>
        <v>0</v>
      </c>
      <c r="N29" s="60">
        <f>SUMIF(Spelarstatistik!A$2:A179, L29, Spelarstatistik!C$2:C179)
</f>
        <v>7</v>
      </c>
      <c r="O29" s="60">
        <f>SUMIF(Spelarstatistik!A$2:A179, L29, Spelarstatistik!D$2:D179)
</f>
        <v>21</v>
      </c>
      <c r="P29" s="60">
        <f>SUMIF(Spelarstatistik!A$2:A179, L29, Spelarstatistik!E$2:E179)
</f>
        <v>15</v>
      </c>
      <c r="Q29" s="60">
        <f>COUNTIF(Spelarstatistik!A$2:A179, L29)
</f>
        <v>7</v>
      </c>
      <c r="R29" s="60">
        <f>SUMIF(Matcher!AC$5:AC179, L29, Matcher!AH$5:AH179)
</f>
        <v>20</v>
      </c>
      <c r="S29" s="60">
        <f t="shared" si="4"/>
        <v>63</v>
      </c>
    </row>
    <row r="30">
      <c r="A30" s="60" t="str">
        <f>IFERROR(__xludf.DUMMYFUNCTION("""COMPUTED_VALUE"""),"Ture H")</f>
        <v>Ture H</v>
      </c>
      <c r="B30" s="64">
        <f>IFERROR(__xludf.DUMMYFUNCTION("""COMPUTED_VALUE"""),2.0)</f>
        <v>2</v>
      </c>
      <c r="C30" s="64">
        <f>IFERROR(__xludf.DUMMYFUNCTION("""COMPUTED_VALUE"""),1.0)</f>
        <v>1</v>
      </c>
      <c r="D30" s="61">
        <f>IFERROR(__xludf.DUMMYFUNCTION("""COMPUTED_VALUE"""),15.0)</f>
        <v>15</v>
      </c>
      <c r="E30" s="61">
        <f>IFERROR(__xludf.DUMMYFUNCTION("""COMPUTED_VALUE"""),8.0)</f>
        <v>8</v>
      </c>
      <c r="F30" s="61">
        <f>IFERROR(__xludf.DUMMYFUNCTION("""COMPUTED_VALUE"""),3.0)</f>
        <v>3</v>
      </c>
      <c r="G30" s="61">
        <f>IFERROR(__xludf.DUMMYFUNCTION("""COMPUTED_VALUE"""),23.0)</f>
        <v>23</v>
      </c>
      <c r="H30" s="61">
        <f>IFERROR(__xludf.DUMMYFUNCTION("""COMPUTED_VALUE"""),37.0)</f>
        <v>37</v>
      </c>
      <c r="I30" s="60" t="str">
        <f t="shared" si="1"/>
        <v>▮▮▮▮▮▮▯▯▯▯▯▯▯▯▯▯▯▯▯▯▯▯▯▯▯▯▯▯▯▯</v>
      </c>
      <c r="J30" s="62">
        <f t="shared" si="2"/>
        <v>12.3</v>
      </c>
      <c r="K30" s="62">
        <f t="shared" si="3"/>
        <v>79</v>
      </c>
      <c r="L30" s="60" t="s">
        <v>72</v>
      </c>
      <c r="M30" s="60">
        <f>SUMIF(Spelarstatistik!A$2:A179, L30, Spelarstatistik!B$2:B179)
</f>
        <v>8</v>
      </c>
      <c r="N30" s="60">
        <f>SUMIF(Spelarstatistik!A$2:A179, L30, Spelarstatistik!C$2:C179)
</f>
        <v>4</v>
      </c>
      <c r="O30" s="60">
        <f>SUMIF(Spelarstatistik!A$2:A179, L30, Spelarstatistik!D$2:D179)
</f>
        <v>15</v>
      </c>
      <c r="P30" s="60">
        <f>SUMIF(Spelarstatistik!A$2:A179, L30, Spelarstatistik!E$2:E179)
</f>
        <v>7</v>
      </c>
      <c r="Q30" s="60">
        <f>COUNTIF(Spelarstatistik!A$2:A179, L30)
</f>
        <v>3</v>
      </c>
      <c r="R30" s="60">
        <f>SUMIF(Matcher!AC$5:AC179, L30, Matcher!AH$5:AH179)
</f>
        <v>0</v>
      </c>
      <c r="S30" s="60">
        <f t="shared" si="4"/>
        <v>35</v>
      </c>
    </row>
    <row r="31">
      <c r="A31" s="60" t="str">
        <f>IFERROR(__xludf.DUMMYFUNCTION("""COMPUTED_VALUE"""),"Joel A")</f>
        <v>Joel A</v>
      </c>
      <c r="B31" s="64">
        <f>IFERROR(__xludf.DUMMYFUNCTION("""COMPUTED_VALUE"""),8.0)</f>
        <v>8</v>
      </c>
      <c r="C31" s="64">
        <f>IFERROR(__xludf.DUMMYFUNCTION("""COMPUTED_VALUE"""),4.0)</f>
        <v>4</v>
      </c>
      <c r="D31" s="64">
        <f>IFERROR(__xludf.DUMMYFUNCTION("""COMPUTED_VALUE"""),15.0)</f>
        <v>15</v>
      </c>
      <c r="E31" s="61">
        <f>IFERROR(__xludf.DUMMYFUNCTION("""COMPUTED_VALUE"""),7.0)</f>
        <v>7</v>
      </c>
      <c r="F31" s="61">
        <f>IFERROR(__xludf.DUMMYFUNCTION("""COMPUTED_VALUE"""),3.0)</f>
        <v>3</v>
      </c>
      <c r="G31" s="61">
        <f>IFERROR(__xludf.DUMMYFUNCTION("""COMPUTED_VALUE"""),0.0)</f>
        <v>0</v>
      </c>
      <c r="H31" s="61">
        <f>IFERROR(__xludf.DUMMYFUNCTION("""COMPUTED_VALUE"""),35.0)</f>
        <v>35</v>
      </c>
      <c r="I31" s="60" t="str">
        <f t="shared" si="1"/>
        <v>▮▮▮▮▮▮▯▯▯▯▯▯▯▯▯▯▯▯▯▯▯▯▯▯▯▯▯▯▯▯</v>
      </c>
      <c r="J31" s="62">
        <f t="shared" si="2"/>
        <v>11.7</v>
      </c>
      <c r="K31" s="62">
        <f t="shared" si="3"/>
        <v>79</v>
      </c>
      <c r="L31" s="60" t="s">
        <v>67</v>
      </c>
      <c r="M31" s="60">
        <f>SUMIF(Spelarstatistik!A$2:A179, L31, Spelarstatistik!B$2:B179)
</f>
        <v>4</v>
      </c>
      <c r="N31" s="60">
        <f>SUMIF(Spelarstatistik!A$2:A179, L31, Spelarstatistik!C$2:C179)
</f>
        <v>13</v>
      </c>
      <c r="O31" s="60">
        <f>SUMIF(Spelarstatistik!A$2:A179, L31, Spelarstatistik!D$2:D179)
</f>
        <v>12</v>
      </c>
      <c r="P31" s="60">
        <f>SUMIF(Spelarstatistik!A$2:A179, L31, Spelarstatistik!E$2:E179)
</f>
        <v>7</v>
      </c>
      <c r="Q31" s="60">
        <f>COUNTIF(Spelarstatistik!A$2:A179, L31)
</f>
        <v>3</v>
      </c>
      <c r="R31" s="60">
        <f>SUMIF(Matcher!AC$5:AC179, L31, Matcher!AH$5:AH179)
</f>
        <v>0</v>
      </c>
      <c r="S31" s="60">
        <f t="shared" si="4"/>
        <v>38</v>
      </c>
    </row>
    <row r="32">
      <c r="A32" s="60" t="str">
        <f>IFERROR(__xludf.DUMMYFUNCTION("""COMPUTED_VALUE"""),"Leo F")</f>
        <v>Leo F</v>
      </c>
      <c r="B32" s="64">
        <f>IFERROR(__xludf.DUMMYFUNCTION("""COMPUTED_VALUE"""),9.0)</f>
        <v>9</v>
      </c>
      <c r="C32" s="64">
        <f>IFERROR(__xludf.DUMMYFUNCTION("""COMPUTED_VALUE"""),5.0)</f>
        <v>5</v>
      </c>
      <c r="D32" s="64">
        <f>IFERROR(__xludf.DUMMYFUNCTION("""COMPUTED_VALUE"""),9.0)</f>
        <v>9</v>
      </c>
      <c r="E32" s="61">
        <f>IFERROR(__xludf.DUMMYFUNCTION("""COMPUTED_VALUE"""),6.0)</f>
        <v>6</v>
      </c>
      <c r="F32" s="61">
        <f>IFERROR(__xludf.DUMMYFUNCTION("""COMPUTED_VALUE"""),3.0)</f>
        <v>3</v>
      </c>
      <c r="G32" s="61">
        <f>IFERROR(__xludf.DUMMYFUNCTION("""COMPUTED_VALUE"""),0.0)</f>
        <v>0</v>
      </c>
      <c r="H32" s="61">
        <f>IFERROR(__xludf.DUMMYFUNCTION("""COMPUTED_VALUE"""),34.0)</f>
        <v>34</v>
      </c>
      <c r="I32" s="60" t="str">
        <f t="shared" si="1"/>
        <v>▮▮▮▮▮▮▯▯▯▯▯▯▯▯▯▯▯▯▯▯▯▯▯▯▯▯▯▯▯▯</v>
      </c>
      <c r="J32" s="62">
        <f t="shared" si="2"/>
        <v>11.3</v>
      </c>
      <c r="K32" s="62">
        <f t="shared" si="3"/>
        <v>77</v>
      </c>
      <c r="L32" s="60" t="s">
        <v>75</v>
      </c>
      <c r="M32" s="60">
        <f>SUMIF(Spelarstatistik!A$2:A179, L32, Spelarstatistik!B$2:B179)
</f>
        <v>0</v>
      </c>
      <c r="N32" s="60">
        <f>SUMIF(Spelarstatistik!A$2:A179, L32, Spelarstatistik!C$2:C179)
</f>
        <v>0</v>
      </c>
      <c r="O32" s="60">
        <f>SUMIF(Spelarstatistik!A$2:A179, L32, Spelarstatistik!D$2:D179)
</f>
        <v>3</v>
      </c>
      <c r="P32" s="60">
        <f>SUMIF(Spelarstatistik!A$2:A179, L32, Spelarstatistik!E$2:E179)
</f>
        <v>5</v>
      </c>
      <c r="Q32" s="60">
        <f>COUNTIF(Spelarstatistik!A$2:A179, L32)
</f>
        <v>1</v>
      </c>
      <c r="R32" s="60">
        <f>SUMIF(Matcher!AC$5:AC179, L32, Matcher!AH$5:AH179)
</f>
        <v>0</v>
      </c>
      <c r="S32" s="60">
        <f t="shared" si="4"/>
        <v>7</v>
      </c>
    </row>
    <row r="33">
      <c r="A33" s="60" t="str">
        <f>IFERROR(__xludf.DUMMYFUNCTION("""COMPUTED_VALUE"""),"Pelle A")</f>
        <v>Pelle A</v>
      </c>
      <c r="B33" s="64">
        <f>IFERROR(__xludf.DUMMYFUNCTION("""COMPUTED_VALUE"""),6.0)</f>
        <v>6</v>
      </c>
      <c r="C33" s="64">
        <f>IFERROR(__xludf.DUMMYFUNCTION("""COMPUTED_VALUE"""),3.0)</f>
        <v>3</v>
      </c>
      <c r="D33" s="64">
        <f>IFERROR(__xludf.DUMMYFUNCTION("""COMPUTED_VALUE"""),10.0)</f>
        <v>10</v>
      </c>
      <c r="E33" s="61">
        <f>IFERROR(__xludf.DUMMYFUNCTION("""COMPUTED_VALUE"""),15.0)</f>
        <v>15</v>
      </c>
      <c r="F33" s="61">
        <f>IFERROR(__xludf.DUMMYFUNCTION("""COMPUTED_VALUE"""),4.0)</f>
        <v>4</v>
      </c>
      <c r="G33" s="61">
        <f>IFERROR(__xludf.DUMMYFUNCTION("""COMPUTED_VALUE"""),0.0)</f>
        <v>0</v>
      </c>
      <c r="H33" s="61">
        <f>IFERROR(__xludf.DUMMYFUNCTION("""COMPUTED_VALUE"""),34.0)</f>
        <v>34</v>
      </c>
      <c r="I33" s="60" t="str">
        <f t="shared" si="1"/>
        <v>▮▮▮▮▮▮▯▯▯▯▯▯▯▯▯▯▯▯▯▯▯▯▯▯▯▯▯▯▯▯</v>
      </c>
      <c r="J33" s="62">
        <f t="shared" si="2"/>
        <v>8.5</v>
      </c>
      <c r="K33" s="62">
        <f t="shared" si="3"/>
        <v>59</v>
      </c>
      <c r="L33" s="60" t="s">
        <v>56</v>
      </c>
      <c r="M33" s="60">
        <f>SUMIF(Spelarstatistik!A$2:A179, L33, Spelarstatistik!B$2:B179)
</f>
        <v>1</v>
      </c>
      <c r="N33" s="60">
        <f>SUMIF(Spelarstatistik!A$2:A179, L33, Spelarstatistik!C$2:C179)
</f>
        <v>0</v>
      </c>
      <c r="O33" s="60">
        <f>SUMIF(Spelarstatistik!A$2:A179, L33, Spelarstatistik!D$2:D179)
</f>
        <v>1</v>
      </c>
      <c r="P33" s="60">
        <f>SUMIF(Spelarstatistik!A$2:A179, L33, Spelarstatistik!E$2:E179)
</f>
        <v>1</v>
      </c>
      <c r="Q33" s="60">
        <f>COUNTIF(Spelarstatistik!A$2:A179, L33)
</f>
        <v>1</v>
      </c>
      <c r="R33" s="60">
        <f>SUMIF(Matcher!AC$5:AC179, L33, Matcher!AH$5:AH179)
</f>
        <v>0</v>
      </c>
      <c r="S33" s="60">
        <f t="shared" si="4"/>
        <v>7</v>
      </c>
    </row>
    <row r="34">
      <c r="A34" s="60" t="str">
        <f>IFERROR(__xludf.DUMMYFUNCTION("""COMPUTED_VALUE"""),"Emil F")</f>
        <v>Emil F</v>
      </c>
      <c r="B34" s="64">
        <f>IFERROR(__xludf.DUMMYFUNCTION("""COMPUTED_VALUE"""),9.0)</f>
        <v>9</v>
      </c>
      <c r="C34" s="64">
        <f>IFERROR(__xludf.DUMMYFUNCTION("""COMPUTED_VALUE"""),3.0)</f>
        <v>3</v>
      </c>
      <c r="D34" s="64">
        <f>IFERROR(__xludf.DUMMYFUNCTION("""COMPUTED_VALUE"""),8.0)</f>
        <v>8</v>
      </c>
      <c r="E34" s="61">
        <f>IFERROR(__xludf.DUMMYFUNCTION("""COMPUTED_VALUE"""),6.0)</f>
        <v>6</v>
      </c>
      <c r="F34" s="61">
        <f>IFERROR(__xludf.DUMMYFUNCTION("""COMPUTED_VALUE"""),2.0)</f>
        <v>2</v>
      </c>
      <c r="G34" s="61">
        <f>IFERROR(__xludf.DUMMYFUNCTION("""COMPUTED_VALUE"""),0.0)</f>
        <v>0</v>
      </c>
      <c r="H34" s="61">
        <f>IFERROR(__xludf.DUMMYFUNCTION("""COMPUTED_VALUE"""),26.0)</f>
        <v>26</v>
      </c>
      <c r="I34" s="60" t="str">
        <f t="shared" si="1"/>
        <v>▮▮▮▮▯▯▯▯▯▯▯▯▯▯▯▯▯▯▯▯▯▯▯▯▯▯▯▯▯▯</v>
      </c>
      <c r="J34" s="62">
        <f t="shared" si="2"/>
        <v>13</v>
      </c>
      <c r="K34" s="62">
        <f t="shared" si="3"/>
        <v>78</v>
      </c>
      <c r="L34" s="60" t="s">
        <v>63</v>
      </c>
      <c r="M34" s="60">
        <f>SUMIF(Spelarstatistik!A$2:A179, L34, Spelarstatistik!B$2:B179)
</f>
        <v>9</v>
      </c>
      <c r="N34" s="60">
        <f>SUMIF(Spelarstatistik!A$2:A179, L34, Spelarstatistik!C$2:C179)
</f>
        <v>5</v>
      </c>
      <c r="O34" s="60">
        <f>SUMIF(Spelarstatistik!A$2:A179, L34, Spelarstatistik!D$2:D179)
</f>
        <v>9</v>
      </c>
      <c r="P34" s="60">
        <f>SUMIF(Spelarstatistik!A$2:A179, L34, Spelarstatistik!E$2:E179)
</f>
        <v>6</v>
      </c>
      <c r="Q34" s="60">
        <f>COUNTIF(Spelarstatistik!A$2:A179, L34)
</f>
        <v>3</v>
      </c>
      <c r="R34" s="60">
        <f>SUMIF(Matcher!AC$5:AC179, L34, Matcher!AH$5:AH179)
</f>
        <v>0</v>
      </c>
      <c r="S34" s="60">
        <f t="shared" si="4"/>
        <v>34</v>
      </c>
    </row>
    <row r="35">
      <c r="A35" s="60" t="str">
        <f>IFERROR(__xludf.DUMMYFUNCTION("""COMPUTED_VALUE"""),"Einar D")</f>
        <v>Einar D</v>
      </c>
      <c r="B35" s="64">
        <f>IFERROR(__xludf.DUMMYFUNCTION("""COMPUTED_VALUE"""),0.0)</f>
        <v>0</v>
      </c>
      <c r="C35" s="64">
        <f>IFERROR(__xludf.DUMMYFUNCTION("""COMPUTED_VALUE"""),0.0)</f>
        <v>0</v>
      </c>
      <c r="D35" s="64">
        <f>IFERROR(__xludf.DUMMYFUNCTION("""COMPUTED_VALUE"""),6.0)</f>
        <v>6</v>
      </c>
      <c r="E35" s="61">
        <f>IFERROR(__xludf.DUMMYFUNCTION("""COMPUTED_VALUE"""),9.0)</f>
        <v>9</v>
      </c>
      <c r="F35" s="61">
        <f>IFERROR(__xludf.DUMMYFUNCTION("""COMPUTED_VALUE"""),2.0)</f>
        <v>2</v>
      </c>
      <c r="G35" s="61">
        <f>IFERROR(__xludf.DUMMYFUNCTION("""COMPUTED_VALUE"""),9.0)</f>
        <v>9</v>
      </c>
      <c r="H35" s="61">
        <f>IFERROR(__xludf.DUMMYFUNCTION("""COMPUTED_VALUE"""),18.0)</f>
        <v>18</v>
      </c>
      <c r="I35" s="60" t="str">
        <f t="shared" si="1"/>
        <v>▮▮▮▯▯▯▯▯▯▯▯▯▯▯▯▯▯▯▯▯▯▯▯▯▯▯▯▯▯▯</v>
      </c>
      <c r="J35" s="62">
        <f t="shared" si="2"/>
        <v>9</v>
      </c>
      <c r="K35" s="62">
        <f t="shared" si="3"/>
        <v>60</v>
      </c>
      <c r="L35" s="60" t="s">
        <v>73</v>
      </c>
      <c r="M35" s="60">
        <f>SUMIF(Spelarstatistik!A$2:A179, L35, Spelarstatistik!B$2:B179)
</f>
        <v>5</v>
      </c>
      <c r="N35" s="60">
        <f>SUMIF(Spelarstatistik!A$2:A179, L35, Spelarstatistik!C$2:C179)
</f>
        <v>2</v>
      </c>
      <c r="O35" s="60">
        <f>SUMIF(Spelarstatistik!A$2:A179, L35, Spelarstatistik!D$2:D179)
</f>
        <v>7</v>
      </c>
      <c r="P35" s="60">
        <f>SUMIF(Spelarstatistik!A$2:A179, L35, Spelarstatistik!E$2:E179)
</f>
        <v>1</v>
      </c>
      <c r="Q35" s="60">
        <f>COUNTIF(Spelarstatistik!A$2:A179, L35)
</f>
        <v>1</v>
      </c>
      <c r="R35" s="60">
        <f>SUMIF(Matcher!AC$5:AC179, L35, Matcher!AH$5:AH179)
</f>
        <v>0</v>
      </c>
      <c r="S35" s="60">
        <f t="shared" si="4"/>
        <v>16</v>
      </c>
    </row>
    <row r="36">
      <c r="A36" s="60" t="str">
        <f>IFERROR(__xludf.DUMMYFUNCTION("""COMPUTED_VALUE"""),"George")</f>
        <v>George</v>
      </c>
      <c r="B36" s="64">
        <f>IFERROR(__xludf.DUMMYFUNCTION("""COMPUTED_VALUE"""),1.0)</f>
        <v>1</v>
      </c>
      <c r="C36" s="64">
        <f>IFERROR(__xludf.DUMMYFUNCTION("""COMPUTED_VALUE"""),1.0)</f>
        <v>1</v>
      </c>
      <c r="D36" s="61">
        <f>IFERROR(__xludf.DUMMYFUNCTION("""COMPUTED_VALUE"""),9.0)</f>
        <v>9</v>
      </c>
      <c r="E36" s="61">
        <f>IFERROR(__xludf.DUMMYFUNCTION("""COMPUTED_VALUE"""),6.0)</f>
        <v>6</v>
      </c>
      <c r="F36" s="61">
        <f>IFERROR(__xludf.DUMMYFUNCTION("""COMPUTED_VALUE"""),2.0)</f>
        <v>2</v>
      </c>
      <c r="G36" s="61">
        <f>IFERROR(__xludf.DUMMYFUNCTION("""COMPUTED_VALUE"""),0.0)</f>
        <v>0</v>
      </c>
      <c r="H36" s="61">
        <f>IFERROR(__xludf.DUMMYFUNCTION("""COMPUTED_VALUE"""),17.0)</f>
        <v>17</v>
      </c>
      <c r="I36" s="60" t="str">
        <f t="shared" si="1"/>
        <v>▮▮▮▯▯▯▯▯▯▯▯▯▯▯▯▯▯▯▯▯▯▯▯▯▯▯▯▯▯▯</v>
      </c>
      <c r="J36" s="62">
        <f t="shared" si="2"/>
        <v>8.5</v>
      </c>
      <c r="K36" s="62">
        <f t="shared" si="3"/>
        <v>57</v>
      </c>
      <c r="L36" s="60" t="s">
        <v>43</v>
      </c>
      <c r="M36" s="60">
        <f>SUMIF(Spelarstatistik!A$2:A179, L36, Spelarstatistik!B$2:B179)
</f>
        <v>1</v>
      </c>
      <c r="N36" s="60">
        <f>SUMIF(Spelarstatistik!A$2:A179, L36, Spelarstatistik!C$2:C179)
</f>
        <v>3</v>
      </c>
      <c r="O36" s="60">
        <f>SUMIF(Spelarstatistik!A$2:A179, L36, Spelarstatistik!D$2:D179)
</f>
        <v>5</v>
      </c>
      <c r="P36" s="60">
        <f>SUMIF(Spelarstatistik!A$2:A179, L36, Spelarstatistik!E$2:E179)
</f>
        <v>1</v>
      </c>
      <c r="Q36" s="60">
        <f>COUNTIF(Spelarstatistik!A$2:A179, L36)
</f>
        <v>1</v>
      </c>
      <c r="R36" s="60">
        <f>SUMIF(Matcher!AC$5:AC179, L36, Matcher!AH$5:AH179)
</f>
        <v>0</v>
      </c>
      <c r="S36" s="60">
        <f t="shared" si="4"/>
        <v>12</v>
      </c>
    </row>
    <row r="37">
      <c r="A37" s="60" t="str">
        <f>IFERROR(__xludf.DUMMYFUNCTION("""COMPUTED_VALUE"""),"Jesper H")</f>
        <v>Jesper H</v>
      </c>
      <c r="B37" s="64">
        <f>IFERROR(__xludf.DUMMYFUNCTION("""COMPUTED_VALUE"""),0.0)</f>
        <v>0</v>
      </c>
      <c r="C37" s="64">
        <f>IFERROR(__xludf.DUMMYFUNCTION("""COMPUTED_VALUE"""),0.0)</f>
        <v>0</v>
      </c>
      <c r="D37" s="61">
        <f>IFERROR(__xludf.DUMMYFUNCTION("""COMPUTED_VALUE"""),4.0)</f>
        <v>4</v>
      </c>
      <c r="E37" s="61">
        <f>IFERROR(__xludf.DUMMYFUNCTION("""COMPUTED_VALUE"""),14.0)</f>
        <v>14</v>
      </c>
      <c r="F37" s="61">
        <f>IFERROR(__xludf.DUMMYFUNCTION("""COMPUTED_VALUE"""),3.0)</f>
        <v>3</v>
      </c>
      <c r="G37" s="61">
        <f>IFERROR(__xludf.DUMMYFUNCTION("""COMPUTED_VALUE"""),0.0)</f>
        <v>0</v>
      </c>
      <c r="H37" s="61">
        <f>IFERROR(__xludf.DUMMYFUNCTION("""COMPUTED_VALUE"""),17.0)</f>
        <v>17</v>
      </c>
      <c r="I37" s="60" t="str">
        <f t="shared" si="1"/>
        <v>▮▮▮▯▯▯▯▯▯▯▯▯▯▯▯▯▯▯▯▯▯▯▯▯▯▯▯▯▯▯</v>
      </c>
      <c r="J37" s="62">
        <f t="shared" si="2"/>
        <v>5.7</v>
      </c>
      <c r="K37" s="62">
        <f t="shared" si="3"/>
        <v>39</v>
      </c>
      <c r="L37" s="60" t="s">
        <v>54</v>
      </c>
      <c r="M37" s="60">
        <f>SUMIF(Spelarstatistik!A$2:A179, L37, Spelarstatistik!B$2:B179)
</f>
        <v>0</v>
      </c>
      <c r="N37" s="60">
        <f>SUMIF(Spelarstatistik!A$2:A179, L37, Spelarstatistik!C$2:C179)
</f>
        <v>2</v>
      </c>
      <c r="O37" s="60">
        <f>SUMIF(Spelarstatistik!A$2:A179, L37, Spelarstatistik!D$2:D179)
</f>
        <v>1</v>
      </c>
      <c r="P37" s="60">
        <f>SUMIF(Spelarstatistik!A$2:A179, L37, Spelarstatistik!E$2:E179)
</f>
        <v>7</v>
      </c>
      <c r="Q37" s="60">
        <f>COUNTIF(Spelarstatistik!A$2:A179, L37)
</f>
        <v>1</v>
      </c>
      <c r="R37" s="60">
        <f>SUMIF(Matcher!AC$5:AC179, L37, Matcher!AH$5:AH179)
</f>
        <v>0</v>
      </c>
      <c r="S37" s="60">
        <f t="shared" si="4"/>
        <v>8</v>
      </c>
    </row>
    <row r="38">
      <c r="A38" s="60" t="str">
        <f>IFERROR(__xludf.DUMMYFUNCTION("""COMPUTED_VALUE"""),"Lucas S")</f>
        <v>Lucas S</v>
      </c>
      <c r="B38" s="64">
        <f>IFERROR(__xludf.DUMMYFUNCTION("""COMPUTED_VALUE"""),5.0)</f>
        <v>5</v>
      </c>
      <c r="C38" s="64">
        <f>IFERROR(__xludf.DUMMYFUNCTION("""COMPUTED_VALUE"""),2.0)</f>
        <v>2</v>
      </c>
      <c r="D38" s="61">
        <f>IFERROR(__xludf.DUMMYFUNCTION("""COMPUTED_VALUE"""),7.0)</f>
        <v>7</v>
      </c>
      <c r="E38" s="61">
        <f>IFERROR(__xludf.DUMMYFUNCTION("""COMPUTED_VALUE"""),1.0)</f>
        <v>1</v>
      </c>
      <c r="F38" s="61">
        <f>IFERROR(__xludf.DUMMYFUNCTION("""COMPUTED_VALUE"""),1.0)</f>
        <v>1</v>
      </c>
      <c r="G38" s="61">
        <f>IFERROR(__xludf.DUMMYFUNCTION("""COMPUTED_VALUE"""),0.0)</f>
        <v>0</v>
      </c>
      <c r="H38" s="61">
        <f>IFERROR(__xludf.DUMMYFUNCTION("""COMPUTED_VALUE"""),16.0)</f>
        <v>16</v>
      </c>
      <c r="I38" s="60" t="str">
        <f t="shared" si="1"/>
        <v>▮▮▮▯▯▯▯▯▯▯▯▯▯▯▯▯▯▯▯▯▯▯▯▯▯▯▯▯▯▯</v>
      </c>
      <c r="J38" s="62">
        <f t="shared" si="2"/>
        <v>16</v>
      </c>
      <c r="K38" s="62">
        <f t="shared" si="3"/>
        <v>77</v>
      </c>
      <c r="L38" s="60" t="s">
        <v>74</v>
      </c>
      <c r="M38" s="60">
        <f>SUMIF(Spelarstatistik!A$2:A179, L38, Spelarstatistik!B$2:B179)
</f>
        <v>1</v>
      </c>
      <c r="N38" s="60">
        <f>SUMIF(Spelarstatistik!A$2:A179, L38, Spelarstatistik!C$2:C179)
</f>
        <v>0</v>
      </c>
      <c r="O38" s="60">
        <f>SUMIF(Spelarstatistik!A$2:A179, L38, Spelarstatistik!D$2:D179)
</f>
        <v>4</v>
      </c>
      <c r="P38" s="60">
        <f>SUMIF(Spelarstatistik!A$2:A179, L38, Spelarstatistik!E$2:E179)
</f>
        <v>3</v>
      </c>
      <c r="Q38" s="60">
        <f>COUNTIF(Spelarstatistik!A$2:A179, L38)
</f>
        <v>1</v>
      </c>
      <c r="R38" s="60">
        <f>SUMIF(Matcher!AC$5:AC179, L38, Matcher!AH$5:AH179)
</f>
        <v>0</v>
      </c>
      <c r="S38" s="60">
        <f t="shared" si="4"/>
        <v>8</v>
      </c>
    </row>
    <row r="39">
      <c r="A39" s="60" t="str">
        <f>IFERROR(__xludf.DUMMYFUNCTION("""COMPUTED_VALUE"""),"Fredrik C")</f>
        <v>Fredrik C</v>
      </c>
      <c r="B39" s="64">
        <f>IFERROR(__xludf.DUMMYFUNCTION("""COMPUTED_VALUE"""),3.0)</f>
        <v>3</v>
      </c>
      <c r="C39" s="64">
        <f>IFERROR(__xludf.DUMMYFUNCTION("""COMPUTED_VALUE"""),4.0)</f>
        <v>4</v>
      </c>
      <c r="D39" s="61">
        <f>IFERROR(__xludf.DUMMYFUNCTION("""COMPUTED_VALUE"""),6.0)</f>
        <v>6</v>
      </c>
      <c r="E39" s="61">
        <f>IFERROR(__xludf.DUMMYFUNCTION("""COMPUTED_VALUE"""),0.0)</f>
        <v>0</v>
      </c>
      <c r="F39" s="61">
        <f>IFERROR(__xludf.DUMMYFUNCTION("""COMPUTED_VALUE"""),1.0)</f>
        <v>1</v>
      </c>
      <c r="G39" s="61">
        <f>IFERROR(__xludf.DUMMYFUNCTION("""COMPUTED_VALUE"""),0.0)</f>
        <v>0</v>
      </c>
      <c r="H39" s="61">
        <f>IFERROR(__xludf.DUMMYFUNCTION("""COMPUTED_VALUE"""),15.0)</f>
        <v>15</v>
      </c>
      <c r="I39" s="60" t="str">
        <f t="shared" si="1"/>
        <v>▮▮▮▯▯▯▯▯▯▯▯▯▯▯▯▯▯▯▯▯▯▯▯▯▯▯▯▯▯▯</v>
      </c>
      <c r="J39" s="62">
        <f t="shared" si="2"/>
        <v>15</v>
      </c>
      <c r="K39" s="62">
        <f t="shared" si="3"/>
        <v>77</v>
      </c>
      <c r="L39" s="60" t="s">
        <v>32</v>
      </c>
      <c r="M39" s="60">
        <f>SUMIF(Spelarstatistik!A$2:A179, L39, Spelarstatistik!B$2:B179)
</f>
        <v>14</v>
      </c>
      <c r="N39" s="60">
        <f>SUMIF(Spelarstatistik!A$2:A179, L39, Spelarstatistik!C$2:C179)
</f>
        <v>9</v>
      </c>
      <c r="O39" s="60">
        <f>SUMIF(Spelarstatistik!A$2:A179, L39, Spelarstatistik!D$2:D179)
</f>
        <v>13</v>
      </c>
      <c r="P39" s="60">
        <f>SUMIF(Spelarstatistik!A$2:A179, L39, Spelarstatistik!E$2:E179)
</f>
        <v>6</v>
      </c>
      <c r="Q39" s="60">
        <f>COUNTIF(Spelarstatistik!A$2:A179, L39)
</f>
        <v>3</v>
      </c>
      <c r="R39" s="60">
        <f>SUMIF(Matcher!AC$5:AC179, L39, Matcher!AH$5:AH179)
</f>
        <v>0</v>
      </c>
      <c r="S39" s="60">
        <f t="shared" si="4"/>
        <v>45</v>
      </c>
    </row>
    <row r="40">
      <c r="A40" s="60" t="str">
        <f>IFERROR(__xludf.DUMMYFUNCTION("""COMPUTED_VALUE"""),"Amiin M")</f>
        <v>Amiin M</v>
      </c>
      <c r="B40" s="64">
        <f>IFERROR(__xludf.DUMMYFUNCTION("""COMPUTED_VALUE"""),3.0)</f>
        <v>3</v>
      </c>
      <c r="C40" s="64">
        <f>IFERROR(__xludf.DUMMYFUNCTION("""COMPUTED_VALUE"""),3.0)</f>
        <v>3</v>
      </c>
      <c r="D40" s="61">
        <f>IFERROR(__xludf.DUMMYFUNCTION("""COMPUTED_VALUE"""),4.0)</f>
        <v>4</v>
      </c>
      <c r="E40" s="61">
        <f>IFERROR(__xludf.DUMMYFUNCTION("""COMPUTED_VALUE"""),5.0)</f>
        <v>5</v>
      </c>
      <c r="F40" s="61">
        <f>IFERROR(__xludf.DUMMYFUNCTION("""COMPUTED_VALUE"""),1.0)</f>
        <v>1</v>
      </c>
      <c r="G40" s="61">
        <f>IFERROR(__xludf.DUMMYFUNCTION("""COMPUTED_VALUE"""),0.0)</f>
        <v>0</v>
      </c>
      <c r="H40" s="61">
        <f>IFERROR(__xludf.DUMMYFUNCTION("""COMPUTED_VALUE"""),13.0)</f>
        <v>13</v>
      </c>
      <c r="I40" s="60" t="str">
        <f t="shared" si="1"/>
        <v>▮▮▯▯▯▯▯▯▯▯▯▯▯▯▯▯▯▯▯▯▯▯▯▯▯▯▯▯▯▯</v>
      </c>
      <c r="J40" s="62">
        <f t="shared" si="2"/>
        <v>13</v>
      </c>
      <c r="K40" s="62">
        <f t="shared" si="3"/>
        <v>77</v>
      </c>
      <c r="L40" s="60" t="s">
        <v>61</v>
      </c>
      <c r="M40" s="60">
        <f>SUMIF(Spelarstatistik!A$2:A179, L40, Spelarstatistik!B$2:B179)
</f>
        <v>0</v>
      </c>
      <c r="N40" s="60">
        <f>SUMIF(Spelarstatistik!A$2:A179, L40, Spelarstatistik!C$2:C179)
</f>
        <v>1</v>
      </c>
      <c r="O40" s="60">
        <f>SUMIF(Spelarstatistik!A$2:A179, L40, Spelarstatistik!D$2:D179)
</f>
        <v>1</v>
      </c>
      <c r="P40" s="60">
        <f>SUMIF(Spelarstatistik!A$2:A179, L40, Spelarstatistik!E$2:E179)
</f>
        <v>4</v>
      </c>
      <c r="Q40" s="60">
        <f>COUNTIF(Spelarstatistik!A$2:A179, L40)
</f>
        <v>1</v>
      </c>
      <c r="R40" s="60">
        <f>SUMIF(Matcher!AC$5:AC179, L40, Matcher!AH$5:AH179)
</f>
        <v>0</v>
      </c>
      <c r="S40" s="60">
        <f t="shared" si="4"/>
        <v>7</v>
      </c>
    </row>
    <row r="41">
      <c r="A41" s="60" t="str">
        <f>IFERROR(__xludf.DUMMYFUNCTION("""COMPUTED_VALUE"""),"Gustav X")</f>
        <v>Gustav X</v>
      </c>
      <c r="B41" s="64">
        <f>IFERROR(__xludf.DUMMYFUNCTION("""COMPUTED_VALUE"""),5.0)</f>
        <v>5</v>
      </c>
      <c r="C41" s="64">
        <f>IFERROR(__xludf.DUMMYFUNCTION("""COMPUTED_VALUE"""),0.0)</f>
        <v>0</v>
      </c>
      <c r="D41" s="61">
        <f>IFERROR(__xludf.DUMMYFUNCTION("""COMPUTED_VALUE"""),4.0)</f>
        <v>4</v>
      </c>
      <c r="E41" s="61">
        <f>IFERROR(__xludf.DUMMYFUNCTION("""COMPUTED_VALUE"""),2.0)</f>
        <v>2</v>
      </c>
      <c r="F41" s="61">
        <f>IFERROR(__xludf.DUMMYFUNCTION("""COMPUTED_VALUE"""),1.0)</f>
        <v>1</v>
      </c>
      <c r="G41" s="61">
        <f>IFERROR(__xludf.DUMMYFUNCTION("""COMPUTED_VALUE"""),0.0)</f>
        <v>0</v>
      </c>
      <c r="H41" s="61">
        <f>IFERROR(__xludf.DUMMYFUNCTION("""COMPUTED_VALUE"""),12.0)</f>
        <v>12</v>
      </c>
      <c r="I41" s="60" t="str">
        <f t="shared" si="1"/>
        <v>▮▮▯▯▯▯▯▯▯▯▯▯▯▯▯▯▯▯▯▯▯▯▯▯▯▯▯▯▯▯</v>
      </c>
      <c r="J41" s="62">
        <f t="shared" si="2"/>
        <v>12</v>
      </c>
      <c r="K41" s="62">
        <f t="shared" si="3"/>
        <v>76</v>
      </c>
      <c r="L41" s="60" t="s">
        <v>35</v>
      </c>
      <c r="M41" s="60">
        <f>SUMIF(Spelarstatistik!A$2:A179, L41, Spelarstatistik!B$2:B179)
</f>
        <v>28</v>
      </c>
      <c r="N41" s="60">
        <f>SUMIF(Spelarstatistik!A$2:A179, L41, Spelarstatistik!C$2:C179)
</f>
        <v>22</v>
      </c>
      <c r="O41" s="60">
        <f>SUMIF(Spelarstatistik!A$2:A179, L41, Spelarstatistik!D$2:D179)
</f>
        <v>48</v>
      </c>
      <c r="P41" s="60">
        <f>SUMIF(Spelarstatistik!A$2:A179, L41, Spelarstatistik!E$2:E179)
</f>
        <v>50</v>
      </c>
      <c r="Q41" s="60">
        <f>COUNTIF(Spelarstatistik!A$2:A179, L41)
</f>
        <v>17</v>
      </c>
      <c r="R41" s="60">
        <f>SUMIF(Matcher!AC$5:AC179, L41, Matcher!AH$5:AH179)
</f>
        <v>0</v>
      </c>
      <c r="S41" s="60">
        <f t="shared" si="4"/>
        <v>159</v>
      </c>
    </row>
    <row r="42">
      <c r="A42" s="60" t="str">
        <f>IFERROR(__xludf.DUMMYFUNCTION("""COMPUTED_VALUE"""),"Magnus D")</f>
        <v>Magnus D</v>
      </c>
      <c r="B42" s="64">
        <f>IFERROR(__xludf.DUMMYFUNCTION("""COMPUTED_VALUE"""),1.0)</f>
        <v>1</v>
      </c>
      <c r="C42" s="64">
        <f>IFERROR(__xludf.DUMMYFUNCTION("""COMPUTED_VALUE"""),3.0)</f>
        <v>3</v>
      </c>
      <c r="D42" s="61">
        <f>IFERROR(__xludf.DUMMYFUNCTION("""COMPUTED_VALUE"""),5.0)</f>
        <v>5</v>
      </c>
      <c r="E42" s="61">
        <f>IFERROR(__xludf.DUMMYFUNCTION("""COMPUTED_VALUE"""),1.0)</f>
        <v>1</v>
      </c>
      <c r="F42" s="61">
        <f>IFERROR(__xludf.DUMMYFUNCTION("""COMPUTED_VALUE"""),1.0)</f>
        <v>1</v>
      </c>
      <c r="G42" s="61">
        <f>IFERROR(__xludf.DUMMYFUNCTION("""COMPUTED_VALUE"""),0.0)</f>
        <v>0</v>
      </c>
      <c r="H42" s="61">
        <f>IFERROR(__xludf.DUMMYFUNCTION("""COMPUTED_VALUE"""),12.0)</f>
        <v>12</v>
      </c>
      <c r="I42" s="60" t="str">
        <f t="shared" si="1"/>
        <v>▮▮▯▯▯▯▯▯▯▯▯▯▯▯▯▯▯▯▯▯▯▯▯▯▯▯▯▯▯▯</v>
      </c>
      <c r="J42" s="62">
        <f t="shared" si="2"/>
        <v>12</v>
      </c>
      <c r="K42" s="62">
        <f t="shared" si="3"/>
        <v>76</v>
      </c>
      <c r="L42" s="60" t="s">
        <v>37</v>
      </c>
      <c r="M42" s="60">
        <f>SUMIF(Spelarstatistik!A$2:A179, L42, Spelarstatistik!B$2:B179)
</f>
        <v>2</v>
      </c>
      <c r="N42" s="60">
        <f>SUMIF(Spelarstatistik!A$2:A179, L42, Spelarstatistik!C$2:C179)
</f>
        <v>2</v>
      </c>
      <c r="O42" s="60">
        <f>SUMIF(Spelarstatistik!A$2:A179, L42, Spelarstatistik!D$2:D179)
</f>
        <v>4</v>
      </c>
      <c r="P42" s="60">
        <f>SUMIF(Spelarstatistik!A$2:A179, L42, Spelarstatistik!E$2:E179)
</f>
        <v>5</v>
      </c>
      <c r="Q42" s="60">
        <f>COUNTIF(Spelarstatistik!A$2:A179, L42)
</f>
        <v>1</v>
      </c>
      <c r="R42" s="60">
        <f>SUMIF(Matcher!AC$5:AC179, L42, Matcher!AH$5:AH179)
</f>
        <v>0</v>
      </c>
      <c r="S42" s="60">
        <f t="shared" si="4"/>
        <v>11</v>
      </c>
    </row>
    <row r="43">
      <c r="A43" s="60" t="str">
        <f>IFERROR(__xludf.DUMMYFUNCTION("""COMPUTED_VALUE"""),"Oskar B")</f>
        <v>Oskar B</v>
      </c>
      <c r="B43" s="61">
        <f>IFERROR(__xludf.DUMMYFUNCTION("""COMPUTED_VALUE"""),2.0)</f>
        <v>2</v>
      </c>
      <c r="C43" s="61">
        <f>IFERROR(__xludf.DUMMYFUNCTION("""COMPUTED_VALUE"""),2.0)</f>
        <v>2</v>
      </c>
      <c r="D43" s="61">
        <f>IFERROR(__xludf.DUMMYFUNCTION("""COMPUTED_VALUE"""),4.0)</f>
        <v>4</v>
      </c>
      <c r="E43" s="61">
        <f>IFERROR(__xludf.DUMMYFUNCTION("""COMPUTED_VALUE"""),5.0)</f>
        <v>5</v>
      </c>
      <c r="F43" s="61">
        <f>IFERROR(__xludf.DUMMYFUNCTION("""COMPUTED_VALUE"""),1.0)</f>
        <v>1</v>
      </c>
      <c r="G43" s="61">
        <f>IFERROR(__xludf.DUMMYFUNCTION("""COMPUTED_VALUE"""),0.0)</f>
        <v>0</v>
      </c>
      <c r="H43" s="61">
        <f>IFERROR(__xludf.DUMMYFUNCTION("""COMPUTED_VALUE"""),11.0)</f>
        <v>11</v>
      </c>
      <c r="I43" s="60" t="str">
        <f t="shared" si="1"/>
        <v>▮▮▯▯▯▯▯▯▯▯▯▯▯▯▯▯▯▯▯▯▯▯▯▯▯▯▯▯▯▯</v>
      </c>
      <c r="J43" s="62">
        <f t="shared" si="2"/>
        <v>11</v>
      </c>
      <c r="K43" s="62">
        <f t="shared" si="3"/>
        <v>72</v>
      </c>
      <c r="L43" s="60" t="s">
        <v>34</v>
      </c>
      <c r="M43" s="60">
        <f>SUMIF(Spelarstatistik!A$2:A179, L43, Spelarstatistik!B$2:B179)
</f>
        <v>16</v>
      </c>
      <c r="N43" s="60">
        <f>SUMIF(Spelarstatistik!A$2:A179, L43, Spelarstatistik!C$2:C179)
</f>
        <v>23</v>
      </c>
      <c r="O43" s="60">
        <f>SUMIF(Spelarstatistik!A$2:A179, L43, Spelarstatistik!D$2:D179)
</f>
        <v>48</v>
      </c>
      <c r="P43" s="60">
        <f>SUMIF(Spelarstatistik!A$2:A179, L43, Spelarstatistik!E$2:E179)
</f>
        <v>35</v>
      </c>
      <c r="Q43" s="60">
        <f>COUNTIF(Spelarstatistik!A$2:A179, L43)
</f>
        <v>14</v>
      </c>
      <c r="R43" s="60">
        <f>SUMIF(Matcher!AC$5:AC179, L43, Matcher!AH$5:AH179)
</f>
        <v>0</v>
      </c>
      <c r="S43" s="60">
        <f t="shared" si="4"/>
        <v>133</v>
      </c>
    </row>
    <row r="44">
      <c r="A44" s="60" t="str">
        <f>IFERROR(__xludf.DUMMYFUNCTION("""COMPUTED_VALUE"""),"Georgios T")</f>
        <v>Georgios T</v>
      </c>
      <c r="B44" s="61">
        <f>IFERROR(__xludf.DUMMYFUNCTION("""COMPUTED_VALUE"""),1.0)</f>
        <v>1</v>
      </c>
      <c r="C44" s="61">
        <f>IFERROR(__xludf.DUMMYFUNCTION("""COMPUTED_VALUE"""),1.0)</f>
        <v>1</v>
      </c>
      <c r="D44" s="61">
        <f>IFERROR(__xludf.DUMMYFUNCTION("""COMPUTED_VALUE"""),5.0)</f>
        <v>5</v>
      </c>
      <c r="E44" s="61">
        <f>IFERROR(__xludf.DUMMYFUNCTION("""COMPUTED_VALUE"""),1.0)</f>
        <v>1</v>
      </c>
      <c r="F44" s="61">
        <f>IFERROR(__xludf.DUMMYFUNCTION("""COMPUTED_VALUE"""),1.0)</f>
        <v>1</v>
      </c>
      <c r="G44" s="61">
        <f>IFERROR(__xludf.DUMMYFUNCTION("""COMPUTED_VALUE"""),0.0)</f>
        <v>0</v>
      </c>
      <c r="H44" s="61">
        <f>IFERROR(__xludf.DUMMYFUNCTION("""COMPUTED_VALUE"""),10.0)</f>
        <v>10</v>
      </c>
      <c r="I44" s="60" t="str">
        <f t="shared" si="1"/>
        <v>▮▮▯▯▯▯▯▯▯▯▯▯▯▯▯▯▯▯▯▯▯▯▯▯▯▯▯▯▯▯</v>
      </c>
      <c r="J44" s="62">
        <f t="shared" si="2"/>
        <v>10</v>
      </c>
      <c r="K44" s="62">
        <f t="shared" si="3"/>
        <v>66</v>
      </c>
      <c r="L44" s="60" t="s">
        <v>71</v>
      </c>
      <c r="M44" s="60">
        <f>SUMIF(Spelarstatistik!A$2:A179, L44, Spelarstatistik!B$2:B179)
</f>
        <v>6</v>
      </c>
      <c r="N44" s="60">
        <f>SUMIF(Spelarstatistik!A$2:A179, L44, Spelarstatistik!C$2:C179)
</f>
        <v>3</v>
      </c>
      <c r="O44" s="60">
        <f>SUMIF(Spelarstatistik!A$2:A179, L44, Spelarstatistik!D$2:D179)
</f>
        <v>10</v>
      </c>
      <c r="P44" s="60">
        <f>SUMIF(Spelarstatistik!A$2:A179, L44, Spelarstatistik!E$2:E179)
</f>
        <v>15</v>
      </c>
      <c r="Q44" s="60">
        <f>COUNTIF(Spelarstatistik!A$2:A179, L44)
</f>
        <v>4</v>
      </c>
      <c r="R44" s="60">
        <f>SUMIF(Matcher!AC$5:AC179, L44, Matcher!AH$5:AH179)
</f>
        <v>0</v>
      </c>
      <c r="S44" s="60">
        <f t="shared" si="4"/>
        <v>34</v>
      </c>
    </row>
    <row r="45">
      <c r="A45" s="60" t="str">
        <f>IFERROR(__xludf.DUMMYFUNCTION("""COMPUTED_VALUE"""),"Mattias R")</f>
        <v>Mattias R</v>
      </c>
      <c r="B45" s="61">
        <f>IFERROR(__xludf.DUMMYFUNCTION("""COMPUTED_VALUE"""),0.0)</f>
        <v>0</v>
      </c>
      <c r="C45" s="61">
        <f>IFERROR(__xludf.DUMMYFUNCTION("""COMPUTED_VALUE"""),2.0)</f>
        <v>2</v>
      </c>
      <c r="D45" s="61">
        <f>IFERROR(__xludf.DUMMYFUNCTION("""COMPUTED_VALUE"""),1.0)</f>
        <v>1</v>
      </c>
      <c r="E45" s="61">
        <f>IFERROR(__xludf.DUMMYFUNCTION("""COMPUTED_VALUE"""),7.0)</f>
        <v>7</v>
      </c>
      <c r="F45" s="61">
        <f>IFERROR(__xludf.DUMMYFUNCTION("""COMPUTED_VALUE"""),1.0)</f>
        <v>1</v>
      </c>
      <c r="G45" s="61">
        <f>IFERROR(__xludf.DUMMYFUNCTION("""COMPUTED_VALUE"""),0.0)</f>
        <v>0</v>
      </c>
      <c r="H45" s="61">
        <f>IFERROR(__xludf.DUMMYFUNCTION("""COMPUTED_VALUE"""),8.0)</f>
        <v>8</v>
      </c>
      <c r="I45" s="60" t="str">
        <f t="shared" si="1"/>
        <v>▮▯▯▯▯▯▯▯▯▯▯▯▯▯▯▯▯▯▯▯▯▯▯▯▯▯▯▯▯▯</v>
      </c>
      <c r="J45" s="62">
        <f t="shared" si="2"/>
        <v>8</v>
      </c>
      <c r="K45" s="62">
        <f t="shared" si="3"/>
        <v>53</v>
      </c>
      <c r="L45" s="60" t="s">
        <v>51</v>
      </c>
      <c r="M45" s="60">
        <f>SUMIF(Spelarstatistik!A$2:A179, L45, Spelarstatistik!B$2:B179)
</f>
        <v>9</v>
      </c>
      <c r="N45" s="60">
        <f>SUMIF(Spelarstatistik!A$2:A179, L45, Spelarstatistik!C$2:C179)
</f>
        <v>8</v>
      </c>
      <c r="O45" s="60">
        <f>SUMIF(Spelarstatistik!A$2:A179, L45, Spelarstatistik!D$2:D179)
</f>
        <v>9</v>
      </c>
      <c r="P45" s="60">
        <f>SUMIF(Spelarstatistik!A$2:A179, L45, Spelarstatistik!E$2:E179)
</f>
        <v>12</v>
      </c>
      <c r="Q45" s="60">
        <f>COUNTIF(Spelarstatistik!A$2:A179, L45)
</f>
        <v>4</v>
      </c>
      <c r="R45" s="60">
        <f>SUMIF(Matcher!AC$5:AC179, L45, Matcher!AH$5:AH179)
</f>
        <v>0</v>
      </c>
      <c r="S45" s="60">
        <f t="shared" si="4"/>
        <v>42</v>
      </c>
    </row>
    <row r="46">
      <c r="A46" s="60" t="str">
        <f>IFERROR(__xludf.DUMMYFUNCTION("""COMPUTED_VALUE"""),"Mattias X")</f>
        <v>Mattias X</v>
      </c>
      <c r="B46" s="61">
        <f>IFERROR(__xludf.DUMMYFUNCTION("""COMPUTED_VALUE"""),1.0)</f>
        <v>1</v>
      </c>
      <c r="C46" s="61">
        <f>IFERROR(__xludf.DUMMYFUNCTION("""COMPUTED_VALUE"""),0.0)</f>
        <v>0</v>
      </c>
      <c r="D46" s="61">
        <f>IFERROR(__xludf.DUMMYFUNCTION("""COMPUTED_VALUE"""),4.0)</f>
        <v>4</v>
      </c>
      <c r="E46" s="61">
        <f>IFERROR(__xludf.DUMMYFUNCTION("""COMPUTED_VALUE"""),3.0)</f>
        <v>3</v>
      </c>
      <c r="F46" s="61">
        <f>IFERROR(__xludf.DUMMYFUNCTION("""COMPUTED_VALUE"""),1.0)</f>
        <v>1</v>
      </c>
      <c r="G46" s="61">
        <f>IFERROR(__xludf.DUMMYFUNCTION("""COMPUTED_VALUE"""),0.0)</f>
        <v>0</v>
      </c>
      <c r="H46" s="61">
        <f>IFERROR(__xludf.DUMMYFUNCTION("""COMPUTED_VALUE"""),8.0)</f>
        <v>8</v>
      </c>
      <c r="I46" s="60" t="str">
        <f t="shared" si="1"/>
        <v>▮▯▯▯▯▯▯▯▯▯▯▯▯▯▯▯▯▯▯▯▯▯▯▯▯▯▯▯▯▯</v>
      </c>
      <c r="J46" s="62">
        <f t="shared" si="2"/>
        <v>8</v>
      </c>
      <c r="K46" s="62">
        <f t="shared" si="3"/>
        <v>53</v>
      </c>
      <c r="L46" s="60" t="s">
        <v>40</v>
      </c>
      <c r="M46" s="60">
        <f>SUMIF(Spelarstatistik!A$2:A179, L46, Spelarstatistik!B$2:B179)
</f>
        <v>0</v>
      </c>
      <c r="N46" s="60">
        <f>SUMIF(Spelarstatistik!A$2:A179, L46, Spelarstatistik!C$2:C179)
</f>
        <v>21</v>
      </c>
      <c r="O46" s="60">
        <f>SUMIF(Spelarstatistik!A$2:A179, L46, Spelarstatistik!D$2:D179)
</f>
        <v>4</v>
      </c>
      <c r="P46" s="60">
        <f>SUMIF(Spelarstatistik!A$2:A179, L46, Spelarstatistik!E$2:E179)
</f>
        <v>1</v>
      </c>
      <c r="Q46" s="60">
        <f>COUNTIF(Spelarstatistik!A$2:A179, L46)
</f>
        <v>9</v>
      </c>
      <c r="R46" s="60">
        <f>SUMIF(Matcher!AC$5:AC179, L46, Matcher!AH$5:AH179)
</f>
        <v>6</v>
      </c>
      <c r="S46" s="60">
        <f t="shared" si="4"/>
        <v>71</v>
      </c>
    </row>
    <row r="47">
      <c r="A47" s="60" t="str">
        <f>IFERROR(__xludf.DUMMYFUNCTION("""COMPUTED_VALUE"""),"Hampus W")</f>
        <v>Hampus W</v>
      </c>
      <c r="B47" s="61">
        <f>IFERROR(__xludf.DUMMYFUNCTION("""COMPUTED_VALUE"""),0.0)</f>
        <v>0</v>
      </c>
      <c r="C47" s="61">
        <f>IFERROR(__xludf.DUMMYFUNCTION("""COMPUTED_VALUE"""),0.0)</f>
        <v>0</v>
      </c>
      <c r="D47" s="61">
        <f>IFERROR(__xludf.DUMMYFUNCTION("""COMPUTED_VALUE"""),3.0)</f>
        <v>3</v>
      </c>
      <c r="E47" s="61">
        <f>IFERROR(__xludf.DUMMYFUNCTION("""COMPUTED_VALUE"""),1.0)</f>
        <v>1</v>
      </c>
      <c r="F47" s="61">
        <f>IFERROR(__xludf.DUMMYFUNCTION("""COMPUTED_VALUE"""),1.0)</f>
        <v>1</v>
      </c>
      <c r="G47" s="61">
        <f>IFERROR(__xludf.DUMMYFUNCTION("""COMPUTED_VALUE"""),0.0)</f>
        <v>0</v>
      </c>
      <c r="H47" s="61">
        <f>IFERROR(__xludf.DUMMYFUNCTION("""COMPUTED_VALUE"""),7.0)</f>
        <v>7</v>
      </c>
      <c r="I47" s="60" t="str">
        <f t="shared" si="1"/>
        <v>▮▯▯▯▯▯▯▯▯▯▯▯▯▯▯▯▯▯▯▯▯▯▯▯▯▯▯▯▯▯</v>
      </c>
      <c r="J47" s="62">
        <f t="shared" si="2"/>
        <v>7</v>
      </c>
      <c r="K47" s="62">
        <f t="shared" si="3"/>
        <v>46</v>
      </c>
      <c r="L47" s="60" t="s">
        <v>24</v>
      </c>
      <c r="M47" s="60">
        <f>SUMIF(Spelarstatistik!A$2:A179, L47, Spelarstatistik!B$2:B179)
</f>
        <v>11</v>
      </c>
      <c r="N47" s="60">
        <f>SUMIF(Spelarstatistik!A$2:A179, L47, Spelarstatistik!C$2:C179)
</f>
        <v>29</v>
      </c>
      <c r="O47" s="60">
        <f>SUMIF(Spelarstatistik!A$2:A179, L47, Spelarstatistik!D$2:D179)
</f>
        <v>28</v>
      </c>
      <c r="P47" s="60">
        <f>SUMIF(Spelarstatistik!A$2:A179, L47, Spelarstatistik!E$2:E179)
</f>
        <v>40</v>
      </c>
      <c r="Q47" s="60">
        <f>COUNTIF(Spelarstatistik!A$2:A179, L47)
</f>
        <v>10</v>
      </c>
      <c r="R47" s="60">
        <f>SUMIF(Matcher!AC$5:AC179, L47, Matcher!AH$5:AH179)
</f>
        <v>0</v>
      </c>
      <c r="S47" s="60">
        <f t="shared" si="4"/>
        <v>104</v>
      </c>
    </row>
    <row r="48">
      <c r="A48" s="60" t="str">
        <f>IFERROR(__xludf.DUMMYFUNCTION("""COMPUTED_VALUE"""),"Immanuel A")</f>
        <v>Immanuel A</v>
      </c>
      <c r="B48" s="61">
        <f>IFERROR(__xludf.DUMMYFUNCTION("""COMPUTED_VALUE"""),1.0)</f>
        <v>1</v>
      </c>
      <c r="C48" s="61">
        <f>IFERROR(__xludf.DUMMYFUNCTION("""COMPUTED_VALUE"""),1.0)</f>
        <v>1</v>
      </c>
      <c r="D48" s="61">
        <f>IFERROR(__xludf.DUMMYFUNCTION("""COMPUTED_VALUE"""),0.0)</f>
        <v>0</v>
      </c>
      <c r="E48" s="61">
        <f>IFERROR(__xludf.DUMMYFUNCTION("""COMPUTED_VALUE"""),7.0)</f>
        <v>7</v>
      </c>
      <c r="F48" s="61">
        <f>IFERROR(__xludf.DUMMYFUNCTION("""COMPUTED_VALUE"""),1.0)</f>
        <v>1</v>
      </c>
      <c r="G48" s="61">
        <f>IFERROR(__xludf.DUMMYFUNCTION("""COMPUTED_VALUE"""),0.0)</f>
        <v>0</v>
      </c>
      <c r="H48" s="61">
        <f>IFERROR(__xludf.DUMMYFUNCTION("""COMPUTED_VALUE"""),7.0)</f>
        <v>7</v>
      </c>
      <c r="I48" s="60" t="str">
        <f t="shared" si="1"/>
        <v>▮▯▯▯▯▯▯▯▯▯▯▯▯▯▯▯▯▯▯▯▯▯▯▯▯▯▯▯▯▯</v>
      </c>
      <c r="J48" s="62">
        <f t="shared" si="2"/>
        <v>7</v>
      </c>
      <c r="K48" s="62">
        <f t="shared" si="3"/>
        <v>46</v>
      </c>
      <c r="L48" s="60" t="s">
        <v>52</v>
      </c>
      <c r="M48" s="60">
        <f>SUMIF(Spelarstatistik!A$2:A179, L48, Spelarstatistik!B$2:B179)
</f>
        <v>10</v>
      </c>
      <c r="N48" s="60">
        <f>SUMIF(Spelarstatistik!A$2:A179, L48, Spelarstatistik!C$2:C179)
</f>
        <v>8</v>
      </c>
      <c r="O48" s="60">
        <f>SUMIF(Spelarstatistik!A$2:A179, L48, Spelarstatistik!D$2:D179)
</f>
        <v>18</v>
      </c>
      <c r="P48" s="60">
        <f>SUMIF(Spelarstatistik!A$2:A179, L48, Spelarstatistik!E$2:E179)
</f>
        <v>21</v>
      </c>
      <c r="Q48" s="60">
        <f>COUNTIF(Spelarstatistik!A$2:A179, L48)
</f>
        <v>7</v>
      </c>
      <c r="R48" s="60">
        <f>SUMIF(Matcher!AC$5:AC179, L48, Matcher!AH$5:AH179)
</f>
        <v>0</v>
      </c>
      <c r="S48" s="60">
        <f t="shared" si="4"/>
        <v>62</v>
      </c>
    </row>
    <row r="49">
      <c r="A49" s="60" t="str">
        <f>IFERROR(__xludf.DUMMYFUNCTION("""COMPUTED_VALUE"""),"Jonathan X")</f>
        <v>Jonathan X</v>
      </c>
      <c r="B49" s="61">
        <f>IFERROR(__xludf.DUMMYFUNCTION("""COMPUTED_VALUE"""),0.0)</f>
        <v>0</v>
      </c>
      <c r="C49" s="61">
        <f>IFERROR(__xludf.DUMMYFUNCTION("""COMPUTED_VALUE"""),0.0)</f>
        <v>0</v>
      </c>
      <c r="D49" s="61">
        <f>IFERROR(__xludf.DUMMYFUNCTION("""COMPUTED_VALUE"""),3.0)</f>
        <v>3</v>
      </c>
      <c r="E49" s="61">
        <f>IFERROR(__xludf.DUMMYFUNCTION("""COMPUTED_VALUE"""),5.0)</f>
        <v>5</v>
      </c>
      <c r="F49" s="61">
        <f>IFERROR(__xludf.DUMMYFUNCTION("""COMPUTED_VALUE"""),1.0)</f>
        <v>1</v>
      </c>
      <c r="G49" s="61">
        <f>IFERROR(__xludf.DUMMYFUNCTION("""COMPUTED_VALUE"""),0.0)</f>
        <v>0</v>
      </c>
      <c r="H49" s="61">
        <f>IFERROR(__xludf.DUMMYFUNCTION("""COMPUTED_VALUE"""),7.0)</f>
        <v>7</v>
      </c>
      <c r="I49" s="60" t="str">
        <f t="shared" si="1"/>
        <v>▮▯▯▯▯▯▯▯▯▯▯▯▯▯▯▯▯▯▯▯▯▯▯▯▯▯▯▯▯▯</v>
      </c>
      <c r="J49" s="62">
        <f t="shared" si="2"/>
        <v>7</v>
      </c>
      <c r="K49" s="62">
        <f t="shared" si="3"/>
        <v>46</v>
      </c>
      <c r="L49" s="60" t="s">
        <v>29</v>
      </c>
      <c r="M49" s="60">
        <f>SUMIF(Spelarstatistik!A$2:A179, L49, Spelarstatistik!B$2:B179)
</f>
        <v>10</v>
      </c>
      <c r="N49" s="60">
        <f>SUMIF(Spelarstatistik!A$2:A179, L49, Spelarstatistik!C$2:C179)
</f>
        <v>11</v>
      </c>
      <c r="O49" s="60">
        <f>SUMIF(Spelarstatistik!A$2:A179, L49, Spelarstatistik!D$2:D179)
</f>
        <v>34</v>
      </c>
      <c r="P49" s="60">
        <f>SUMIF(Spelarstatistik!A$2:A179, L49, Spelarstatistik!E$2:E179)
</f>
        <v>23</v>
      </c>
      <c r="Q49" s="60">
        <f>COUNTIF(Spelarstatistik!A$2:A179, L49)
</f>
        <v>10</v>
      </c>
      <c r="R49" s="60">
        <f>SUMIF(Matcher!AC$5:AC179, L49, Matcher!AH$5:AH179)
</f>
        <v>0</v>
      </c>
      <c r="S49" s="60">
        <f t="shared" si="4"/>
        <v>88</v>
      </c>
    </row>
    <row r="50">
      <c r="A50" s="60" t="str">
        <f>IFERROR(__xludf.DUMMYFUNCTION("""COMPUTED_VALUE"""),"Karvan X")</f>
        <v>Karvan X</v>
      </c>
      <c r="B50" s="61">
        <f>IFERROR(__xludf.DUMMYFUNCTION("""COMPUTED_VALUE"""),1.0)</f>
        <v>1</v>
      </c>
      <c r="C50" s="61">
        <f>IFERROR(__xludf.DUMMYFUNCTION("""COMPUTED_VALUE"""),0.0)</f>
        <v>0</v>
      </c>
      <c r="D50" s="61">
        <f>IFERROR(__xludf.DUMMYFUNCTION("""COMPUTED_VALUE"""),1.0)</f>
        <v>1</v>
      </c>
      <c r="E50" s="61">
        <f>IFERROR(__xludf.DUMMYFUNCTION("""COMPUTED_VALUE"""),1.0)</f>
        <v>1</v>
      </c>
      <c r="F50" s="61">
        <f>IFERROR(__xludf.DUMMYFUNCTION("""COMPUTED_VALUE"""),1.0)</f>
        <v>1</v>
      </c>
      <c r="G50" s="61">
        <f>IFERROR(__xludf.DUMMYFUNCTION("""COMPUTED_VALUE"""),0.0)</f>
        <v>0</v>
      </c>
      <c r="H50" s="61">
        <f>IFERROR(__xludf.DUMMYFUNCTION("""COMPUTED_VALUE"""),7.0)</f>
        <v>7</v>
      </c>
      <c r="I50" s="60" t="str">
        <f t="shared" si="1"/>
        <v>▮▯▯▯▯▯▯▯▯▯▯▯▯▯▯▯▯▯▯▯▯▯▯▯▯▯▯▯▯▯</v>
      </c>
      <c r="J50" s="62">
        <f t="shared" si="2"/>
        <v>7</v>
      </c>
      <c r="K50" s="62">
        <f t="shared" si="3"/>
        <v>46</v>
      </c>
      <c r="L50" s="60" t="s">
        <v>44</v>
      </c>
      <c r="M50" s="60">
        <f>SUMIF(Spelarstatistik!A$2:A179, L50, Spelarstatistik!B$2:B179)
</f>
        <v>6</v>
      </c>
      <c r="N50" s="60">
        <f>SUMIF(Spelarstatistik!A$2:A179, L50, Spelarstatistik!C$2:C179)
</f>
        <v>8</v>
      </c>
      <c r="O50" s="60">
        <f>SUMIF(Spelarstatistik!A$2:A179, L50, Spelarstatistik!D$2:D179)
</f>
        <v>15</v>
      </c>
      <c r="P50" s="60">
        <f>SUMIF(Spelarstatistik!A$2:A179, L50, Spelarstatistik!E$2:E179)
</f>
        <v>8</v>
      </c>
      <c r="Q50" s="60">
        <f>COUNTIF(Spelarstatistik!A$2:A179, L50)
</f>
        <v>4</v>
      </c>
      <c r="R50" s="60">
        <f>SUMIF(Matcher!AC$5:AC179, L50, Matcher!AH$5:AH179)
</f>
        <v>0</v>
      </c>
      <c r="S50" s="60">
        <f t="shared" si="4"/>
        <v>42</v>
      </c>
    </row>
    <row r="51">
      <c r="A51" s="60" t="str">
        <f>IFERROR(__xludf.DUMMYFUNCTION("""COMPUTED_VALUE"""),"Moaaz T")</f>
        <v>Moaaz T</v>
      </c>
      <c r="B51" s="61">
        <f>IFERROR(__xludf.DUMMYFUNCTION("""COMPUTED_VALUE"""),0.0)</f>
        <v>0</v>
      </c>
      <c r="C51" s="61">
        <f>IFERROR(__xludf.DUMMYFUNCTION("""COMPUTED_VALUE"""),1.0)</f>
        <v>1</v>
      </c>
      <c r="D51" s="61">
        <f>IFERROR(__xludf.DUMMYFUNCTION("""COMPUTED_VALUE"""),1.0)</f>
        <v>1</v>
      </c>
      <c r="E51" s="61">
        <f>IFERROR(__xludf.DUMMYFUNCTION("""COMPUTED_VALUE"""),4.0)</f>
        <v>4</v>
      </c>
      <c r="F51" s="61">
        <f>IFERROR(__xludf.DUMMYFUNCTION("""COMPUTED_VALUE"""),1.0)</f>
        <v>1</v>
      </c>
      <c r="G51" s="61">
        <f>IFERROR(__xludf.DUMMYFUNCTION("""COMPUTED_VALUE"""),0.0)</f>
        <v>0</v>
      </c>
      <c r="H51" s="61">
        <f>IFERROR(__xludf.DUMMYFUNCTION("""COMPUTED_VALUE"""),7.0)</f>
        <v>7</v>
      </c>
      <c r="I51" s="60" t="str">
        <f t="shared" si="1"/>
        <v>▮▯▯▯▯▯▯▯▯▯▯▯▯▯▯▯▯▯▯▯▯▯▯▯▯▯▯▯▯▯</v>
      </c>
      <c r="J51" s="62">
        <f t="shared" si="2"/>
        <v>7</v>
      </c>
      <c r="K51" s="62">
        <f t="shared" si="3"/>
        <v>46</v>
      </c>
      <c r="L51" s="60" t="s">
        <v>62</v>
      </c>
      <c r="M51" s="60">
        <f>SUMIF(Spelarstatistik!A$2:A179, L51, Spelarstatistik!B$2:B179)
</f>
        <v>2</v>
      </c>
      <c r="N51" s="60">
        <f>SUMIF(Spelarstatistik!A$2:A179, L51, Spelarstatistik!C$2:C179)
</f>
        <v>1</v>
      </c>
      <c r="O51" s="60">
        <f>SUMIF(Spelarstatistik!A$2:A179, L51, Spelarstatistik!D$2:D179)
</f>
        <v>15</v>
      </c>
      <c r="P51" s="60">
        <f>SUMIF(Spelarstatistik!A$2:A179, L51, Spelarstatistik!E$2:E179)
</f>
        <v>8</v>
      </c>
      <c r="Q51" s="60">
        <f>COUNTIF(Spelarstatistik!A$2:A179, L51)
</f>
        <v>3</v>
      </c>
      <c r="R51" s="60">
        <f>SUMIF(Matcher!AC$5:AC179, L51, Matcher!AH$5:AH179)
</f>
        <v>23</v>
      </c>
      <c r="S51" s="60">
        <f t="shared" si="4"/>
        <v>37</v>
      </c>
    </row>
    <row r="52">
      <c r="A52" s="60" t="str">
        <f>IFERROR(__xludf.DUMMYFUNCTION("""COMPUTED_VALUE"""),"Achillie X")</f>
        <v>Achillie X</v>
      </c>
      <c r="B52" s="61">
        <f>IFERROR(__xludf.DUMMYFUNCTION("""COMPUTED_VALUE"""),0.0)</f>
        <v>0</v>
      </c>
      <c r="C52" s="61">
        <f>IFERROR(__xludf.DUMMYFUNCTION("""COMPUTED_VALUE"""),0.0)</f>
        <v>0</v>
      </c>
      <c r="D52" s="61">
        <f>IFERROR(__xludf.DUMMYFUNCTION("""COMPUTED_VALUE"""),1.0)</f>
        <v>1</v>
      </c>
      <c r="E52" s="61">
        <f>IFERROR(__xludf.DUMMYFUNCTION("""COMPUTED_VALUE"""),3.0)</f>
        <v>3</v>
      </c>
      <c r="F52" s="61">
        <f>IFERROR(__xludf.DUMMYFUNCTION("""COMPUTED_VALUE"""),1.0)</f>
        <v>1</v>
      </c>
      <c r="G52" s="61">
        <f>IFERROR(__xludf.DUMMYFUNCTION("""COMPUTED_VALUE"""),0.0)</f>
        <v>0</v>
      </c>
      <c r="H52" s="61">
        <f>IFERROR(__xludf.DUMMYFUNCTION("""COMPUTED_VALUE"""),6.0)</f>
        <v>6</v>
      </c>
      <c r="I52" s="60" t="str">
        <f t="shared" si="1"/>
        <v>▮▯▯▯▯▯▯▯▯▯▯▯▯▯▯▯▯▯▯▯▯▯▯▯▯▯▯▯▯▯</v>
      </c>
      <c r="J52" s="62">
        <f t="shared" si="2"/>
        <v>6</v>
      </c>
      <c r="K52" s="62">
        <f t="shared" si="3"/>
        <v>40</v>
      </c>
      <c r="L52" s="60" t="s">
        <v>50</v>
      </c>
      <c r="M52" s="60">
        <f>SUMIF(Spelarstatistik!A$2:A179, L52, Spelarstatistik!B$2:B179)
</f>
        <v>0</v>
      </c>
      <c r="N52" s="60">
        <f>SUMIF(Spelarstatistik!A$2:A179, L52, Spelarstatistik!C$2:C179)
</f>
        <v>0</v>
      </c>
      <c r="O52" s="60">
        <f>SUMIF(Spelarstatistik!A$2:A179, L52, Spelarstatistik!D$2:D179)
</f>
        <v>0</v>
      </c>
      <c r="P52" s="60">
        <f>SUMIF(Spelarstatistik!A$2:A179, L52, Spelarstatistik!E$2:E179)
</f>
        <v>7</v>
      </c>
      <c r="Q52" s="60">
        <f>COUNTIF(Spelarstatistik!A$2:A179, L52)
</f>
        <v>1</v>
      </c>
      <c r="R52" s="60">
        <f>SUMIF(Matcher!AC$5:AC179, L52, Matcher!AH$5:AH179)
</f>
        <v>0</v>
      </c>
      <c r="S52" s="60">
        <f t="shared" si="4"/>
        <v>5</v>
      </c>
    </row>
    <row r="53">
      <c r="A53" s="60" t="str">
        <f>IFERROR(__xludf.DUMMYFUNCTION("""COMPUTED_VALUE"""),"William X")</f>
        <v>William X</v>
      </c>
      <c r="B53" s="61">
        <f>IFERROR(__xludf.DUMMYFUNCTION("""COMPUTED_VALUE"""),0.0)</f>
        <v>0</v>
      </c>
      <c r="C53" s="61">
        <f>IFERROR(__xludf.DUMMYFUNCTION("""COMPUTED_VALUE"""),0.0)</f>
        <v>0</v>
      </c>
      <c r="D53" s="61">
        <f>IFERROR(__xludf.DUMMYFUNCTION("""COMPUTED_VALUE"""),0.0)</f>
        <v>0</v>
      </c>
      <c r="E53" s="61">
        <f>IFERROR(__xludf.DUMMYFUNCTION("""COMPUTED_VALUE"""),7.0)</f>
        <v>7</v>
      </c>
      <c r="F53" s="61">
        <f>IFERROR(__xludf.DUMMYFUNCTION("""COMPUTED_VALUE"""),1.0)</f>
        <v>1</v>
      </c>
      <c r="G53" s="61">
        <f>IFERROR(__xludf.DUMMYFUNCTION("""COMPUTED_VALUE"""),0.0)</f>
        <v>0</v>
      </c>
      <c r="H53" s="61">
        <f>IFERROR(__xludf.DUMMYFUNCTION("""COMPUTED_VALUE"""),5.0)</f>
        <v>5</v>
      </c>
      <c r="I53" s="60" t="str">
        <f t="shared" si="1"/>
        <v>▮▯▯▯▯▯▯▯▯▯▯▯▯▯▯▯▯▯▯▯▯▯▯▯▯▯▯▯▯▯</v>
      </c>
      <c r="J53" s="62">
        <f t="shared" si="2"/>
        <v>5</v>
      </c>
      <c r="K53" s="62">
        <f t="shared" si="3"/>
        <v>33</v>
      </c>
      <c r="L53" s="60" t="s">
        <v>26</v>
      </c>
      <c r="M53" s="60">
        <f>SUMIF(Spelarstatistik!A$2:A179, L53, Spelarstatistik!B$2:B179)
</f>
        <v>16</v>
      </c>
      <c r="N53" s="60">
        <f>SUMIF(Spelarstatistik!A$2:A179, L53, Spelarstatistik!C$2:C179)
</f>
        <v>9</v>
      </c>
      <c r="O53" s="60">
        <f>SUMIF(Spelarstatistik!A$2:A179, L53, Spelarstatistik!D$2:D179)
</f>
        <v>13</v>
      </c>
      <c r="P53" s="60">
        <f>SUMIF(Spelarstatistik!A$2:A179, L53, Spelarstatistik!E$2:E179)
</f>
        <v>47</v>
      </c>
      <c r="Q53" s="60">
        <f>COUNTIF(Spelarstatistik!A$2:A179, L53)
</f>
        <v>12</v>
      </c>
      <c r="R53" s="60">
        <f>SUMIF(Matcher!AC$5:AC179, L53, Matcher!AH$5:AH179)
</f>
        <v>0</v>
      </c>
      <c r="S53" s="60">
        <f t="shared" si="4"/>
        <v>92</v>
      </c>
    </row>
    <row r="54">
      <c r="A54" s="60"/>
      <c r="B54" s="61"/>
      <c r="C54" s="61"/>
      <c r="D54" s="61"/>
      <c r="E54" s="61"/>
      <c r="F54" s="61"/>
      <c r="G54" s="61"/>
      <c r="H54" s="61"/>
      <c r="I54" s="60" t="str">
        <f t="shared" si="1"/>
        <v/>
      </c>
      <c r="J54" s="62" t="str">
        <f t="shared" si="2"/>
        <v/>
      </c>
      <c r="K54" s="62">
        <f t="shared" si="3"/>
        <v>0</v>
      </c>
      <c r="L54" s="60"/>
      <c r="M54" s="60">
        <f>SUMIF(Spelarstatistik!A$2:A179, L54, Spelarstatistik!B$2:B179)
</f>
        <v>0</v>
      </c>
      <c r="N54" s="60">
        <f>SUMIF(Spelarstatistik!A$2:A179, L54, Spelarstatistik!C$2:C179)
</f>
        <v>0</v>
      </c>
      <c r="O54" s="60">
        <f>SUMIF(Spelarstatistik!A$2:A179, L54, Spelarstatistik!D$2:D179)
</f>
        <v>0</v>
      </c>
      <c r="P54" s="60">
        <f>SUMIF(Spelarstatistik!A$2:A179, L54, Spelarstatistik!E$2:E179)
</f>
        <v>0</v>
      </c>
      <c r="Q54" s="60">
        <f>COUNTIF(Spelarstatistik!A$2:A179, L54)
</f>
        <v>0</v>
      </c>
      <c r="R54" s="60">
        <f>SUMIF(Matcher!AC$5:AC179, L54, Matcher!AH$5:AH179)
</f>
        <v>0</v>
      </c>
      <c r="S54" s="60" t="str">
        <f t="shared" si="4"/>
        <v/>
      </c>
    </row>
    <row r="55">
      <c r="A55" s="60"/>
      <c r="B55" s="61"/>
      <c r="C55" s="61"/>
      <c r="D55" s="61"/>
      <c r="E55" s="61"/>
      <c r="F55" s="61"/>
      <c r="G55" s="61"/>
      <c r="H55" s="61"/>
      <c r="I55" s="60" t="str">
        <f t="shared" si="1"/>
        <v/>
      </c>
      <c r="J55" s="62"/>
      <c r="K55" s="62"/>
      <c r="L55" s="60"/>
      <c r="M55" s="60">
        <f>SUMIF(Spelarstatistik!A$2:A179, L55, Spelarstatistik!B$2:B179)
</f>
        <v>0</v>
      </c>
      <c r="N55" s="60">
        <f>SUMIF(Spelarstatistik!A$2:A179, L55, Spelarstatistik!C$2:C179)
</f>
        <v>0</v>
      </c>
      <c r="O55" s="60">
        <f>SUMIF(Spelarstatistik!A$2:A179, L55, Spelarstatistik!D$2:D179)
</f>
        <v>0</v>
      </c>
      <c r="P55" s="60">
        <f>SUMIF(Spelarstatistik!A$2:A179, L55, Spelarstatistik!E$2:E179)
</f>
        <v>0</v>
      </c>
      <c r="Q55" s="60">
        <f>COUNTIF(Spelarstatistik!A$2:A179, L55)
</f>
        <v>0</v>
      </c>
      <c r="R55" s="60">
        <f>SUMIF(Matcher!AC$5:AC179, L55, Matcher!AH$5:AH179)
</f>
        <v>0</v>
      </c>
      <c r="S55" s="60" t="str">
        <f t="shared" si="4"/>
        <v/>
      </c>
    </row>
    <row r="56">
      <c r="A56" s="60"/>
      <c r="B56" s="61"/>
      <c r="C56" s="61"/>
      <c r="D56" s="61"/>
      <c r="E56" s="61"/>
      <c r="F56" s="61"/>
      <c r="G56" s="61"/>
      <c r="H56" s="61"/>
      <c r="I56" s="60" t="str">
        <f t="shared" si="1"/>
        <v/>
      </c>
      <c r="J56" s="62"/>
      <c r="K56" s="62"/>
      <c r="L56" s="60"/>
      <c r="M56" s="60">
        <f>SUMIF(Spelarstatistik!A$2:A179, L56, Spelarstatistik!B$2:B179)
</f>
        <v>0</v>
      </c>
      <c r="N56" s="60">
        <f>SUMIF(Spelarstatistik!A$2:A179, L56, Spelarstatistik!C$2:C179)
</f>
        <v>0</v>
      </c>
      <c r="O56" s="60">
        <f>SUMIF(Spelarstatistik!A$2:A179, L56, Spelarstatistik!D$2:D179)
</f>
        <v>0</v>
      </c>
      <c r="P56" s="60">
        <f>SUMIF(Spelarstatistik!A$2:A179, L56, Spelarstatistik!E$2:E179)
</f>
        <v>0</v>
      </c>
      <c r="Q56" s="60">
        <f>COUNTIF(Spelarstatistik!A$2:A179, L56)
</f>
        <v>0</v>
      </c>
      <c r="R56" s="60">
        <f>SUMIF(Matcher!AC$5:AC179, L56, Matcher!AH$5:AH179)
</f>
        <v>0</v>
      </c>
      <c r="S56" s="60" t="str">
        <f t="shared" si="4"/>
        <v/>
      </c>
    </row>
    <row r="57">
      <c r="A57" s="60"/>
      <c r="B57" s="61"/>
      <c r="C57" s="61"/>
      <c r="D57" s="61"/>
      <c r="E57" s="61"/>
      <c r="F57" s="61"/>
      <c r="G57" s="61"/>
      <c r="H57" s="61"/>
      <c r="I57" s="60" t="str">
        <f t="shared" si="1"/>
        <v/>
      </c>
      <c r="J57" s="62"/>
      <c r="K57" s="62"/>
      <c r="L57" s="60"/>
      <c r="M57" s="60">
        <f>SUMIF(Spelarstatistik!A$2:A179, L57, Spelarstatistik!B$2:B179)
</f>
        <v>0</v>
      </c>
      <c r="N57" s="60">
        <f>SUMIF(Spelarstatistik!A$2:A179, L57, Spelarstatistik!C$2:C179)
</f>
        <v>0</v>
      </c>
      <c r="O57" s="60">
        <f>SUMIF(Spelarstatistik!A$2:A179, L57, Spelarstatistik!D$2:D179)
</f>
        <v>0</v>
      </c>
      <c r="P57" s="60">
        <f>SUMIF(Spelarstatistik!A$2:A179, L57, Spelarstatistik!E$2:E179)
</f>
        <v>0</v>
      </c>
      <c r="Q57" s="60">
        <f>COUNTIF(Spelarstatistik!A$2:A179, L57)
</f>
        <v>0</v>
      </c>
      <c r="R57" s="60">
        <f>SUMIF(Matcher!AC$5:AC179, L57, Matcher!AH$5:AH179)
</f>
        <v>0</v>
      </c>
      <c r="S57" s="60" t="str">
        <f t="shared" si="4"/>
        <v/>
      </c>
    </row>
    <row r="58">
      <c r="A58" s="60"/>
      <c r="B58" s="61"/>
      <c r="C58" s="61"/>
      <c r="D58" s="61"/>
      <c r="E58" s="61"/>
      <c r="F58" s="61"/>
      <c r="G58" s="61"/>
      <c r="H58" s="61"/>
      <c r="I58" s="60"/>
      <c r="J58" s="62"/>
      <c r="K58" s="62"/>
      <c r="L58" s="60"/>
      <c r="M58" s="60">
        <f>SUMIF(Spelarstatistik!A$2:A179, L58, Spelarstatistik!B$2:B179)
</f>
        <v>0</v>
      </c>
      <c r="N58" s="60">
        <f>SUMIF(Spelarstatistik!A$2:A179, L58, Spelarstatistik!C$2:C179)
</f>
        <v>0</v>
      </c>
      <c r="O58" s="60">
        <f>SUMIF(Spelarstatistik!A$2:A179, L58, Spelarstatistik!D$2:D179)
</f>
        <v>0</v>
      </c>
      <c r="P58" s="60">
        <f>SUMIF(Spelarstatistik!A$2:A179, L58, Spelarstatistik!E$2:E179)
</f>
        <v>0</v>
      </c>
      <c r="Q58" s="60">
        <f>COUNTIF(Spelarstatistik!A$2:A179, L58)
</f>
        <v>0</v>
      </c>
      <c r="R58" s="60">
        <f>SUMIF(Matcher!AC$5:AC179, L58, Matcher!AH$5:AH179)
</f>
        <v>0</v>
      </c>
      <c r="S58" s="60" t="str">
        <f t="shared" si="4"/>
        <v/>
      </c>
    </row>
    <row r="59">
      <c r="A59" s="60"/>
      <c r="B59" s="61"/>
      <c r="C59" s="61"/>
      <c r="D59" s="61"/>
      <c r="E59" s="61"/>
      <c r="F59" s="61"/>
      <c r="G59" s="61"/>
      <c r="H59" s="61"/>
      <c r="I59" s="60"/>
      <c r="J59" s="62"/>
      <c r="K59" s="62"/>
      <c r="L59" s="60"/>
      <c r="M59" s="60">
        <f>SUMIF(Spelarstatistik!A$2:A179, L59, Spelarstatistik!B$2:B179)
</f>
        <v>0</v>
      </c>
      <c r="N59" s="60">
        <f>SUMIF(Spelarstatistik!A$2:A179, L59, Spelarstatistik!C$2:C179)
</f>
        <v>0</v>
      </c>
      <c r="O59" s="60">
        <f>SUMIF(Spelarstatistik!A$2:A179, L59, Spelarstatistik!D$2:D179)
</f>
        <v>0</v>
      </c>
      <c r="P59" s="60">
        <f>SUMIF(Spelarstatistik!A$2:A179, L59, Spelarstatistik!E$2:E179)
</f>
        <v>0</v>
      </c>
      <c r="Q59" s="60">
        <f>COUNTIF(Spelarstatistik!A$2:A179, L59)
</f>
        <v>0</v>
      </c>
      <c r="R59" s="60">
        <f>SUMIF(Matcher!AC$5:AC179, L59, Matcher!AH$5:AH179)
</f>
        <v>0</v>
      </c>
      <c r="S59" s="60" t="str">
        <f t="shared" si="4"/>
        <v/>
      </c>
    </row>
    <row r="60">
      <c r="A60" s="60"/>
      <c r="B60" s="61"/>
      <c r="C60" s="61"/>
      <c r="D60" s="61"/>
      <c r="E60" s="61"/>
      <c r="F60" s="61"/>
      <c r="G60" s="61"/>
      <c r="H60" s="61"/>
      <c r="I60" s="60"/>
      <c r="J60" s="62"/>
      <c r="K60" s="62"/>
      <c r="L60" s="60"/>
      <c r="M60" s="60">
        <f>SUMIF(Spelarstatistik!A$2:A179, L60, Spelarstatistik!B$2:B179)
</f>
        <v>0</v>
      </c>
      <c r="N60" s="60">
        <f>SUMIF(Spelarstatistik!A$2:A179, L60, Spelarstatistik!C$2:C179)
</f>
        <v>0</v>
      </c>
      <c r="O60" s="60">
        <f>SUMIF(Spelarstatistik!A$2:A179, L60, Spelarstatistik!D$2:D179)
</f>
        <v>0</v>
      </c>
      <c r="P60" s="60">
        <f>SUMIF(Spelarstatistik!A$2:A179, L60, Spelarstatistik!E$2:E179)
</f>
        <v>0</v>
      </c>
      <c r="Q60" s="60">
        <f>COUNTIF(Spelarstatistik!A$2:A179, L60)
</f>
        <v>0</v>
      </c>
      <c r="R60" s="60">
        <f>SUMIF(Matcher!AC$5:AC179, L60, Matcher!AH$5:AH179)
</f>
        <v>0</v>
      </c>
      <c r="S60" s="60" t="str">
        <f t="shared" si="4"/>
        <v/>
      </c>
    </row>
    <row r="61">
      <c r="A61" s="60"/>
      <c r="B61" s="61"/>
      <c r="C61" s="61"/>
      <c r="D61" s="61"/>
      <c r="E61" s="61"/>
      <c r="F61" s="61"/>
      <c r="G61" s="61"/>
      <c r="H61" s="61"/>
      <c r="I61" s="60"/>
      <c r="J61" s="62"/>
      <c r="K61" s="62"/>
      <c r="L61" s="60"/>
      <c r="M61" s="60">
        <f>SUMIF(Spelarstatistik!A$2:A179, L61, Spelarstatistik!B$2:B179)
</f>
        <v>0</v>
      </c>
      <c r="N61" s="60">
        <f>SUMIF(Spelarstatistik!A$2:A179, L61, Spelarstatistik!C$2:C179)
</f>
        <v>0</v>
      </c>
      <c r="O61" s="60">
        <f>SUMIF(Spelarstatistik!A$2:A179, L61, Spelarstatistik!D$2:D179)
</f>
        <v>0</v>
      </c>
      <c r="P61" s="60">
        <f>SUMIF(Spelarstatistik!A$2:A179, L61, Spelarstatistik!E$2:E179)
</f>
        <v>0</v>
      </c>
      <c r="Q61" s="60">
        <f>COUNTIF(Spelarstatistik!A$2:A179, L61)
</f>
        <v>0</v>
      </c>
      <c r="R61" s="60">
        <f>SUMIF(Matcher!AC$5:AC179, L61, Matcher!AH$5:AH179)
</f>
        <v>0</v>
      </c>
      <c r="S61" s="60" t="str">
        <f t="shared" si="4"/>
        <v/>
      </c>
    </row>
    <row r="62">
      <c r="A62" s="60"/>
      <c r="B62" s="61"/>
      <c r="C62" s="61"/>
      <c r="D62" s="61"/>
      <c r="E62" s="61"/>
      <c r="F62" s="61"/>
      <c r="G62" s="61"/>
      <c r="H62" s="61"/>
      <c r="I62" s="60"/>
      <c r="J62" s="62"/>
      <c r="K62" s="62"/>
      <c r="L62" s="60"/>
      <c r="M62" s="60">
        <f>SUMIF(Spelarstatistik!A$2:A179, L62, Spelarstatistik!B$2:B179)
</f>
        <v>0</v>
      </c>
      <c r="N62" s="60">
        <f>SUMIF(Spelarstatistik!A$2:A179, L62, Spelarstatistik!C$2:C179)
</f>
        <v>0</v>
      </c>
      <c r="O62" s="60">
        <f>SUMIF(Spelarstatistik!A$2:A179, L62, Spelarstatistik!D$2:D179)
</f>
        <v>0</v>
      </c>
      <c r="P62" s="60">
        <f>SUMIF(Spelarstatistik!A$2:A179, L62, Spelarstatistik!E$2:E179)
</f>
        <v>0</v>
      </c>
      <c r="Q62" s="60">
        <f>COUNTIF(Spelarstatistik!A$2:A179, L62)
</f>
        <v>0</v>
      </c>
      <c r="R62" s="60">
        <f>SUMIF(Matcher!AC$5:AC179, L62, Matcher!AH$5:AH179)
</f>
        <v>0</v>
      </c>
      <c r="S62" s="60" t="str">
        <f t="shared" si="4"/>
        <v/>
      </c>
    </row>
    <row r="63">
      <c r="A63" s="60"/>
      <c r="B63" s="61"/>
      <c r="C63" s="61"/>
      <c r="D63" s="61"/>
      <c r="E63" s="61"/>
      <c r="F63" s="61"/>
      <c r="G63" s="61"/>
      <c r="H63" s="61"/>
      <c r="I63" s="60"/>
      <c r="J63" s="62"/>
      <c r="K63" s="62"/>
      <c r="L63" s="60"/>
      <c r="M63" s="60">
        <f>SUMIF(Spelarstatistik!A$2:A179, L63, Spelarstatistik!B$2:B179)
</f>
        <v>0</v>
      </c>
      <c r="N63" s="60">
        <f>SUMIF(Spelarstatistik!A$2:A179, L63, Spelarstatistik!C$2:C179)
</f>
        <v>0</v>
      </c>
      <c r="O63" s="60">
        <f>SUMIF(Spelarstatistik!A$2:A179, L63, Spelarstatistik!D$2:D179)
</f>
        <v>0</v>
      </c>
      <c r="P63" s="60">
        <f>SUMIF(Spelarstatistik!A$2:A179, L63, Spelarstatistik!E$2:E179)
</f>
        <v>0</v>
      </c>
      <c r="Q63" s="60">
        <f>COUNTIF(Spelarstatistik!A$2:A179, L63)
</f>
        <v>0</v>
      </c>
      <c r="R63" s="60">
        <f>SUMIF(Matcher!AC$5:AC179, L63, Matcher!AH$5:AH179)
</f>
        <v>0</v>
      </c>
      <c r="S63" s="60" t="str">
        <f t="shared" si="4"/>
        <v/>
      </c>
    </row>
    <row r="64">
      <c r="A64" s="60"/>
      <c r="B64" s="61"/>
      <c r="C64" s="61"/>
      <c r="D64" s="61"/>
      <c r="E64" s="61"/>
      <c r="F64" s="61"/>
      <c r="G64" s="61"/>
      <c r="H64" s="61"/>
      <c r="I64" s="60"/>
      <c r="J64" s="62"/>
      <c r="K64" s="62"/>
      <c r="L64" s="60"/>
      <c r="M64" s="60">
        <f>SUMIF(Spelarstatistik!A$2:A179, L64, Spelarstatistik!B$2:B179)
</f>
        <v>0</v>
      </c>
      <c r="N64" s="60">
        <f>SUMIF(Spelarstatistik!A$2:A179, L64, Spelarstatistik!C$2:C179)
</f>
        <v>0</v>
      </c>
      <c r="O64" s="60">
        <f>SUMIF(Spelarstatistik!A$2:A179, L64, Spelarstatistik!D$2:D179)
</f>
        <v>0</v>
      </c>
      <c r="P64" s="60">
        <f>SUMIF(Spelarstatistik!A$2:A179, L64, Spelarstatistik!E$2:E179)
</f>
        <v>0</v>
      </c>
      <c r="Q64" s="60">
        <f>COUNTIF(Spelarstatistik!A$2:A179, L64)
</f>
        <v>0</v>
      </c>
      <c r="R64" s="60">
        <f>SUMIF(Matcher!AC$5:AC179, L64, Matcher!AH$5:AH179)
</f>
        <v>0</v>
      </c>
      <c r="S64" s="60" t="str">
        <f t="shared" si="4"/>
        <v/>
      </c>
    </row>
    <row r="65">
      <c r="A65" s="60"/>
      <c r="B65" s="61"/>
      <c r="C65" s="61"/>
      <c r="D65" s="61"/>
      <c r="E65" s="61"/>
      <c r="F65" s="61"/>
      <c r="G65" s="61"/>
      <c r="H65" s="61"/>
      <c r="I65" s="60"/>
      <c r="J65" s="62"/>
      <c r="K65" s="62"/>
      <c r="L65" s="60"/>
      <c r="M65" s="60">
        <f>SUMIF(Spelarstatistik!A$2:A179, L65, Spelarstatistik!B$2:B179)
</f>
        <v>0</v>
      </c>
      <c r="N65" s="60">
        <f>SUMIF(Spelarstatistik!A$2:A179, L65, Spelarstatistik!C$2:C179)
</f>
        <v>0</v>
      </c>
      <c r="O65" s="60">
        <f>SUMIF(Spelarstatistik!A$2:A179, L65, Spelarstatistik!D$2:D179)
</f>
        <v>0</v>
      </c>
      <c r="P65" s="60">
        <f>SUMIF(Spelarstatistik!A$2:A179, L65, Spelarstatistik!E$2:E179)
</f>
        <v>0</v>
      </c>
      <c r="Q65" s="60">
        <f>COUNTIF(Spelarstatistik!A$2:A179, L65)
</f>
        <v>0</v>
      </c>
      <c r="R65" s="60">
        <f>SUMIF(Matcher!AC$5:AC179, L65, Matcher!AH$5:AH179)
</f>
        <v>0</v>
      </c>
      <c r="S65" s="60" t="str">
        <f t="shared" si="4"/>
        <v/>
      </c>
    </row>
    <row r="66">
      <c r="A66" s="60"/>
      <c r="B66" s="61"/>
      <c r="C66" s="61"/>
      <c r="D66" s="61"/>
      <c r="E66" s="61"/>
      <c r="F66" s="61"/>
      <c r="G66" s="61"/>
      <c r="H66" s="61"/>
      <c r="I66" s="60"/>
      <c r="J66" s="62"/>
      <c r="K66" s="62"/>
      <c r="L66" s="60"/>
      <c r="M66" s="60">
        <f>SUMIF(Spelarstatistik!A$2:A179, L66, Spelarstatistik!B$2:B179)
</f>
        <v>0</v>
      </c>
      <c r="N66" s="60">
        <f>SUMIF(Spelarstatistik!A$2:A179, L66, Spelarstatistik!C$2:C179)
</f>
        <v>0</v>
      </c>
      <c r="O66" s="60">
        <f>SUMIF(Spelarstatistik!A$2:A179, L66, Spelarstatistik!D$2:D179)
</f>
        <v>0</v>
      </c>
      <c r="P66" s="60">
        <f>SUMIF(Spelarstatistik!A$2:A179, L66, Spelarstatistik!E$2:E179)
</f>
        <v>0</v>
      </c>
      <c r="Q66" s="60">
        <f>COUNTIF(Spelarstatistik!A$2:A179, L66)
</f>
        <v>0</v>
      </c>
      <c r="R66" s="60">
        <f>SUMIF(Matcher!AC$5:AC179, L66, Matcher!AH$5:AH179)
</f>
        <v>0</v>
      </c>
      <c r="S66" s="60" t="str">
        <f t="shared" si="4"/>
        <v/>
      </c>
    </row>
    <row r="67">
      <c r="A67" s="60"/>
      <c r="B67" s="61"/>
      <c r="C67" s="61"/>
      <c r="D67" s="61"/>
      <c r="E67" s="61"/>
      <c r="F67" s="61"/>
      <c r="G67" s="61"/>
      <c r="H67" s="61"/>
      <c r="I67" s="60"/>
      <c r="J67" s="62"/>
      <c r="K67" s="62"/>
      <c r="L67" s="60"/>
      <c r="M67" s="60">
        <f>SUMIF(Spelarstatistik!A$2:A179, L67, Spelarstatistik!B$2:B179)
</f>
        <v>0</v>
      </c>
      <c r="N67" s="60">
        <f>SUMIF(Spelarstatistik!A$2:A179, L67, Spelarstatistik!C$2:C179)
</f>
        <v>0</v>
      </c>
      <c r="O67" s="60">
        <f>SUMIF(Spelarstatistik!A$2:A179, L67, Spelarstatistik!D$2:D179)
</f>
        <v>0</v>
      </c>
      <c r="P67" s="60">
        <f>SUMIF(Spelarstatistik!A$2:A179, L67, Spelarstatistik!E$2:E179)
</f>
        <v>0</v>
      </c>
      <c r="Q67" s="60">
        <f>COUNTIF(Spelarstatistik!A$2:A179, L67)
</f>
        <v>0</v>
      </c>
      <c r="R67" s="60">
        <f>SUMIF(Matcher!AC$5:AC179, L67, Matcher!AH$5:AH179)
</f>
        <v>0</v>
      </c>
      <c r="S67" s="60" t="str">
        <f t="shared" si="4"/>
        <v/>
      </c>
    </row>
    <row r="68">
      <c r="A68" s="60"/>
      <c r="B68" s="61"/>
      <c r="C68" s="61"/>
      <c r="D68" s="61"/>
      <c r="E68" s="61"/>
      <c r="F68" s="61"/>
      <c r="G68" s="61"/>
      <c r="H68" s="61"/>
      <c r="I68" s="60"/>
      <c r="J68" s="62"/>
      <c r="K68" s="62"/>
      <c r="L68" s="60"/>
      <c r="M68" s="60">
        <f>SUMIF(Spelarstatistik!A$2:A179, L68, Spelarstatistik!B$2:B179)
</f>
        <v>0</v>
      </c>
      <c r="N68" s="60">
        <f>SUMIF(Spelarstatistik!A$2:A179, L68, Spelarstatistik!C$2:C179)
</f>
        <v>0</v>
      </c>
      <c r="O68" s="60">
        <f>SUMIF(Spelarstatistik!A$2:A179, L68, Spelarstatistik!D$2:D179)
</f>
        <v>0</v>
      </c>
      <c r="P68" s="60">
        <f>SUMIF(Spelarstatistik!A$2:A179, L68, Spelarstatistik!E$2:E179)
</f>
        <v>0</v>
      </c>
      <c r="Q68" s="60">
        <f>COUNTIF(Spelarstatistik!A$2:A179, L68)
</f>
        <v>0</v>
      </c>
      <c r="R68" s="60">
        <f>SUMIF(Matcher!AC$5:AC179, L68, Matcher!AH$5:AH179)
</f>
        <v>0</v>
      </c>
      <c r="S68" s="60" t="str">
        <f t="shared" si="4"/>
        <v/>
      </c>
    </row>
    <row r="69">
      <c r="A69" s="60"/>
      <c r="B69" s="61"/>
      <c r="C69" s="61"/>
      <c r="D69" s="61"/>
      <c r="E69" s="61"/>
      <c r="F69" s="61"/>
      <c r="G69" s="61"/>
      <c r="H69" s="61"/>
      <c r="I69" s="60"/>
      <c r="J69" s="62"/>
      <c r="K69" s="62"/>
      <c r="L69" s="60"/>
      <c r="M69" s="60">
        <f>SUMIF(Spelarstatistik!A$2:A179, L69, Spelarstatistik!B$2:B179)
</f>
        <v>0</v>
      </c>
      <c r="N69" s="60">
        <f>SUMIF(Spelarstatistik!A$2:A179, L69, Spelarstatistik!C$2:C179)
</f>
        <v>0</v>
      </c>
      <c r="O69" s="60">
        <f>SUMIF(Spelarstatistik!A$2:A179, L69, Spelarstatistik!D$2:D179)
</f>
        <v>0</v>
      </c>
      <c r="P69" s="60">
        <f>SUMIF(Spelarstatistik!A$2:A179, L69, Spelarstatistik!E$2:E179)
</f>
        <v>0</v>
      </c>
      <c r="Q69" s="60">
        <f>COUNTIF(Spelarstatistik!A$2:A179, L69)
</f>
        <v>0</v>
      </c>
      <c r="R69" s="60">
        <f>SUMIF(Matcher!AC$5:AC179, L69, Matcher!AH$5:AH179)
</f>
        <v>0</v>
      </c>
      <c r="S69" s="60" t="str">
        <f t="shared" si="4"/>
        <v/>
      </c>
    </row>
    <row r="70">
      <c r="A70" s="60"/>
      <c r="B70" s="61"/>
      <c r="C70" s="61"/>
      <c r="D70" s="61"/>
      <c r="E70" s="61"/>
      <c r="F70" s="61"/>
      <c r="G70" s="61"/>
      <c r="H70" s="61"/>
      <c r="I70" s="60"/>
      <c r="J70" s="62"/>
      <c r="K70" s="62"/>
      <c r="L70" s="60"/>
      <c r="M70" s="60">
        <f>SUMIF(Spelarstatistik!A$2:A179, L70, Spelarstatistik!B$2:B179)
</f>
        <v>0</v>
      </c>
      <c r="N70" s="60">
        <f>SUMIF(Spelarstatistik!A$2:A179, L70, Spelarstatistik!C$2:C179)
</f>
        <v>0</v>
      </c>
      <c r="O70" s="60">
        <f>SUMIF(Spelarstatistik!A$2:A179, L70, Spelarstatistik!D$2:D179)
</f>
        <v>0</v>
      </c>
      <c r="P70" s="60">
        <f>SUMIF(Spelarstatistik!A$2:A179, L70, Spelarstatistik!E$2:E179)
</f>
        <v>0</v>
      </c>
      <c r="Q70" s="60">
        <f>COUNTIF(Spelarstatistik!A$2:A179, L70)
</f>
        <v>0</v>
      </c>
      <c r="R70" s="60">
        <f>SUMIF(Matcher!AC$5:AC179, L70, Matcher!AH$5:AH179)
</f>
        <v>0</v>
      </c>
      <c r="S70" s="60" t="str">
        <f t="shared" si="4"/>
        <v/>
      </c>
    </row>
    <row r="71">
      <c r="A71" s="60"/>
      <c r="B71" s="61"/>
      <c r="C71" s="61"/>
      <c r="D71" s="61"/>
      <c r="E71" s="61"/>
      <c r="F71" s="61"/>
      <c r="G71" s="61"/>
      <c r="H71" s="61"/>
      <c r="I71" s="60"/>
      <c r="J71" s="62"/>
      <c r="K71" s="62"/>
      <c r="L71" s="60"/>
      <c r="M71" s="60">
        <f>SUMIF(Spelarstatistik!A$2:A179, L71, Spelarstatistik!B$2:B179)
</f>
        <v>0</v>
      </c>
      <c r="N71" s="60">
        <f>SUMIF(Spelarstatistik!A$2:A179, L71, Spelarstatistik!C$2:C179)
</f>
        <v>0</v>
      </c>
      <c r="O71" s="60">
        <f>SUMIF(Spelarstatistik!A$2:A179, L71, Spelarstatistik!D$2:D179)
</f>
        <v>0</v>
      </c>
      <c r="P71" s="60">
        <f>SUMIF(Spelarstatistik!A$2:A179, L71, Spelarstatistik!E$2:E179)
</f>
        <v>0</v>
      </c>
      <c r="Q71" s="60">
        <f>COUNTIF(Spelarstatistik!A$2:A179, L71)
</f>
        <v>0</v>
      </c>
      <c r="R71" s="60">
        <f>SUMIF(Matcher!AC$5:AC179, L71, Matcher!AH$5:AH179)
</f>
        <v>0</v>
      </c>
      <c r="S71" s="60" t="str">
        <f t="shared" si="4"/>
        <v/>
      </c>
    </row>
    <row r="72">
      <c r="A72" s="60"/>
      <c r="B72" s="61"/>
      <c r="C72" s="61"/>
      <c r="D72" s="61"/>
      <c r="E72" s="61"/>
      <c r="F72" s="61"/>
      <c r="G72" s="61"/>
      <c r="H72" s="61"/>
      <c r="I72" s="60"/>
      <c r="J72" s="62"/>
      <c r="K72" s="62"/>
      <c r="L72" s="60"/>
      <c r="M72" s="60">
        <f>SUMIF(Spelarstatistik!A$2:A179, L72, Spelarstatistik!B$2:B179)
</f>
        <v>0</v>
      </c>
      <c r="N72" s="60">
        <f>SUMIF(Spelarstatistik!A$2:A179, L72, Spelarstatistik!C$2:C179)
</f>
        <v>0</v>
      </c>
      <c r="O72" s="60">
        <f>SUMIF(Spelarstatistik!A$2:A179, L72, Spelarstatistik!D$2:D179)
</f>
        <v>0</v>
      </c>
      <c r="P72" s="60">
        <f>SUMIF(Spelarstatistik!A$2:A179, L72, Spelarstatistik!E$2:E179)
</f>
        <v>0</v>
      </c>
      <c r="Q72" s="60">
        <f>COUNTIF(Spelarstatistik!A$2:A179, L72)
</f>
        <v>0</v>
      </c>
      <c r="R72" s="60">
        <f>SUMIF(Matcher!AC$5:AC179, L72, Matcher!AH$5:AH179)
</f>
        <v>0</v>
      </c>
      <c r="S72" s="60" t="str">
        <f t="shared" si="4"/>
        <v/>
      </c>
    </row>
    <row r="73">
      <c r="A73" s="60"/>
      <c r="B73" s="61"/>
      <c r="C73" s="61"/>
      <c r="D73" s="61"/>
      <c r="E73" s="61"/>
      <c r="F73" s="61"/>
      <c r="G73" s="61"/>
      <c r="H73" s="61"/>
      <c r="I73" s="60"/>
      <c r="J73" s="62"/>
      <c r="K73" s="62"/>
      <c r="L73" s="60"/>
      <c r="M73" s="60">
        <f>SUMIF(Spelarstatistik!A$2:A179, L73, Spelarstatistik!B$2:B179)
</f>
        <v>0</v>
      </c>
      <c r="N73" s="60">
        <f>SUMIF(Spelarstatistik!A$2:A179, L73, Spelarstatistik!C$2:C179)
</f>
        <v>0</v>
      </c>
      <c r="O73" s="60">
        <f>SUMIF(Spelarstatistik!A$2:A179, L73, Spelarstatistik!D$2:D179)
</f>
        <v>0</v>
      </c>
      <c r="P73" s="60">
        <f>SUMIF(Spelarstatistik!A$2:A179, L73, Spelarstatistik!E$2:E179)
</f>
        <v>0</v>
      </c>
      <c r="Q73" s="60">
        <f>COUNTIF(Spelarstatistik!A$2:A179, L73)
</f>
        <v>0</v>
      </c>
      <c r="R73" s="60">
        <f>SUMIF(Matcher!AC$5:AC179, L73, Matcher!AH$5:AH179)
</f>
        <v>0</v>
      </c>
      <c r="S73" s="60" t="str">
        <f t="shared" si="4"/>
        <v/>
      </c>
    </row>
    <row r="74">
      <c r="A74" s="60"/>
      <c r="B74" s="61"/>
      <c r="C74" s="61"/>
      <c r="D74" s="61"/>
      <c r="E74" s="61"/>
      <c r="F74" s="61"/>
      <c r="G74" s="61"/>
      <c r="H74" s="61"/>
      <c r="I74" s="60"/>
      <c r="J74" s="62"/>
      <c r="K74" s="62"/>
      <c r="L74" s="60"/>
      <c r="M74" s="60">
        <f>SUMIF(Spelarstatistik!A$2:A179, L74, Spelarstatistik!B$2:B179)
</f>
        <v>0</v>
      </c>
      <c r="N74" s="60">
        <f>SUMIF(Spelarstatistik!A$2:A179, L74, Spelarstatistik!C$2:C179)
</f>
        <v>0</v>
      </c>
      <c r="O74" s="60">
        <f>SUMIF(Spelarstatistik!A$2:A179, L74, Spelarstatistik!D$2:D179)
</f>
        <v>0</v>
      </c>
      <c r="P74" s="60">
        <f>SUMIF(Spelarstatistik!A$2:A179, L74, Spelarstatistik!E$2:E179)
</f>
        <v>0</v>
      </c>
      <c r="Q74" s="60">
        <f>COUNTIF(Spelarstatistik!A$2:A179, L74)
</f>
        <v>0</v>
      </c>
      <c r="R74" s="60">
        <f>SUMIF(Matcher!AC$5:AC179, L74, Matcher!AH$5:AH179)
</f>
        <v>0</v>
      </c>
      <c r="S74" s="60" t="str">
        <f t="shared" si="4"/>
        <v/>
      </c>
    </row>
    <row r="75">
      <c r="A75" s="60"/>
      <c r="B75" s="61"/>
      <c r="C75" s="61"/>
      <c r="D75" s="61"/>
      <c r="E75" s="61"/>
      <c r="F75" s="61"/>
      <c r="G75" s="61"/>
      <c r="H75" s="61"/>
      <c r="I75" s="60"/>
      <c r="J75" s="62"/>
      <c r="K75" s="62"/>
      <c r="L75" s="60"/>
      <c r="M75" s="60">
        <f>SUMIF(Spelarstatistik!A$2:A179, L75, Spelarstatistik!B$2:B179)
</f>
        <v>0</v>
      </c>
      <c r="N75" s="60">
        <f>SUMIF(Spelarstatistik!A$2:A179, L75, Spelarstatistik!C$2:C179)
</f>
        <v>0</v>
      </c>
      <c r="O75" s="60">
        <f>SUMIF(Spelarstatistik!A$2:A179, L75, Spelarstatistik!D$2:D179)
</f>
        <v>0</v>
      </c>
      <c r="P75" s="60">
        <f>SUMIF(Spelarstatistik!A$2:A179, L75, Spelarstatistik!E$2:E179)
</f>
        <v>0</v>
      </c>
      <c r="Q75" s="60">
        <f>COUNTIF(Spelarstatistik!A$2:A179, L75)
</f>
        <v>0</v>
      </c>
      <c r="R75" s="60">
        <f>SUMIF(Matcher!AC$5:AC179, L75, Matcher!AH$5:AH179)
</f>
        <v>0</v>
      </c>
      <c r="S75" s="60" t="str">
        <f t="shared" si="4"/>
        <v/>
      </c>
    </row>
    <row r="76">
      <c r="A76" s="60"/>
      <c r="B76" s="61"/>
      <c r="C76" s="61"/>
      <c r="D76" s="61"/>
      <c r="E76" s="61"/>
      <c r="F76" s="61"/>
      <c r="G76" s="61"/>
      <c r="H76" s="61"/>
      <c r="I76" s="60"/>
      <c r="J76" s="62"/>
      <c r="K76" s="62"/>
      <c r="L76" s="60"/>
      <c r="M76" s="60">
        <f>SUMIF(Spelarstatistik!A$2:A179, L76, Spelarstatistik!B$2:B179)
</f>
        <v>0</v>
      </c>
      <c r="N76" s="60">
        <f>SUMIF(Spelarstatistik!A$2:A179, L76, Spelarstatistik!C$2:C179)
</f>
        <v>0</v>
      </c>
      <c r="O76" s="60">
        <f>SUMIF(Spelarstatistik!A$2:A179, L76, Spelarstatistik!D$2:D179)
</f>
        <v>0</v>
      </c>
      <c r="P76" s="60">
        <f>SUMIF(Spelarstatistik!A$2:A179, L76, Spelarstatistik!E$2:E179)
</f>
        <v>0</v>
      </c>
      <c r="Q76" s="60">
        <f>COUNTIF(Spelarstatistik!A$2:A179, L76)
</f>
        <v>0</v>
      </c>
      <c r="R76" s="60">
        <f>SUMIF(Matcher!AC$5:AC179, L76, Matcher!AH$5:AH179)
</f>
        <v>0</v>
      </c>
      <c r="S76" s="60" t="str">
        <f t="shared" si="4"/>
        <v/>
      </c>
    </row>
    <row r="77">
      <c r="A77" s="60"/>
      <c r="B77" s="61"/>
      <c r="C77" s="61"/>
      <c r="D77" s="61"/>
      <c r="E77" s="61"/>
      <c r="F77" s="61"/>
      <c r="G77" s="61"/>
      <c r="H77" s="61"/>
      <c r="I77" s="60"/>
      <c r="J77" s="62"/>
      <c r="K77" s="62"/>
      <c r="L77" s="60"/>
      <c r="M77" s="60">
        <f>SUMIF(Spelarstatistik!A$2:A179, L77, Spelarstatistik!B$2:B179)
</f>
        <v>0</v>
      </c>
      <c r="N77" s="60">
        <f>SUMIF(Spelarstatistik!A$2:A179, L77, Spelarstatistik!C$2:C179)
</f>
        <v>0</v>
      </c>
      <c r="O77" s="60">
        <f>SUMIF(Spelarstatistik!A$2:A179, L77, Spelarstatistik!D$2:D179)
</f>
        <v>0</v>
      </c>
      <c r="P77" s="60">
        <f>SUMIF(Spelarstatistik!A$2:A179, L77, Spelarstatistik!E$2:E179)
</f>
        <v>0</v>
      </c>
      <c r="Q77" s="60">
        <f>COUNTIF(Spelarstatistik!A$2:A179, L77)
</f>
        <v>0</v>
      </c>
      <c r="R77" s="60">
        <f>SUMIF(Matcher!AC$5:AC179, L77, Matcher!AH$5:AH179)
</f>
        <v>0</v>
      </c>
      <c r="S77" s="60" t="str">
        <f t="shared" si="4"/>
        <v/>
      </c>
    </row>
    <row r="78">
      <c r="A78" s="60"/>
      <c r="B78" s="61"/>
      <c r="C78" s="61"/>
      <c r="D78" s="61"/>
      <c r="E78" s="61"/>
      <c r="F78" s="61"/>
      <c r="G78" s="61"/>
      <c r="H78" s="61"/>
      <c r="I78" s="60"/>
      <c r="J78" s="62"/>
      <c r="K78" s="62"/>
      <c r="L78" s="60"/>
      <c r="M78" s="60">
        <f>SUMIF(Spelarstatistik!A$2:A179, L78, Spelarstatistik!B$2:B179)
</f>
        <v>0</v>
      </c>
      <c r="N78" s="60">
        <f>SUMIF(Spelarstatistik!A$2:A179, L78, Spelarstatistik!C$2:C179)
</f>
        <v>0</v>
      </c>
      <c r="O78" s="60">
        <f>SUMIF(Spelarstatistik!A$2:A179, L78, Spelarstatistik!D$2:D179)
</f>
        <v>0</v>
      </c>
      <c r="P78" s="60">
        <f>SUMIF(Spelarstatistik!A$2:A179, L78, Spelarstatistik!E$2:E179)
</f>
        <v>0</v>
      </c>
      <c r="Q78" s="60">
        <f>COUNTIF(Spelarstatistik!A$2:A179, L78)
</f>
        <v>0</v>
      </c>
      <c r="R78" s="60">
        <f>SUMIF(Matcher!AC$5:AC179, L78, Matcher!AH$5:AH179)
</f>
        <v>0</v>
      </c>
      <c r="S78" s="60" t="str">
        <f t="shared" si="4"/>
        <v/>
      </c>
    </row>
    <row r="79">
      <c r="A79" s="60"/>
      <c r="B79" s="61"/>
      <c r="C79" s="61"/>
      <c r="D79" s="61"/>
      <c r="E79" s="61"/>
      <c r="F79" s="61"/>
      <c r="G79" s="61"/>
      <c r="H79" s="61"/>
      <c r="I79" s="60"/>
      <c r="J79" s="62"/>
      <c r="K79" s="62"/>
      <c r="L79" s="60"/>
      <c r="M79" s="60">
        <f>SUMIF(Spelarstatistik!A$2:A179, L79, Spelarstatistik!B$2:B179)
</f>
        <v>0</v>
      </c>
      <c r="N79" s="60">
        <f>SUMIF(Spelarstatistik!A$2:A179, L79, Spelarstatistik!C$2:C179)
</f>
        <v>0</v>
      </c>
      <c r="O79" s="60">
        <f>SUMIF(Spelarstatistik!A$2:A179, L79, Spelarstatistik!D$2:D179)
</f>
        <v>0</v>
      </c>
      <c r="P79" s="60">
        <f>SUMIF(Spelarstatistik!A$2:A179, L79, Spelarstatistik!E$2:E179)
</f>
        <v>0</v>
      </c>
      <c r="Q79" s="60">
        <f>COUNTIF(Spelarstatistik!A$2:A179, L79)
</f>
        <v>0</v>
      </c>
      <c r="R79" s="60">
        <f>SUMIF(Matcher!AC$5:AC179, L79, Matcher!AH$5:AH179)
</f>
        <v>0</v>
      </c>
      <c r="S79" s="60" t="str">
        <f t="shared" si="4"/>
        <v/>
      </c>
    </row>
    <row r="80">
      <c r="A80" s="60"/>
      <c r="B80" s="61"/>
      <c r="C80" s="61"/>
      <c r="D80" s="61"/>
      <c r="E80" s="61"/>
      <c r="F80" s="61"/>
      <c r="G80" s="61"/>
      <c r="H80" s="61"/>
      <c r="I80" s="60"/>
      <c r="J80" s="62"/>
      <c r="K80" s="62"/>
      <c r="L80" s="60"/>
      <c r="M80" s="60">
        <f>SUMIF(Spelarstatistik!A$2:A179, L80, Spelarstatistik!B$2:B179)
</f>
        <v>0</v>
      </c>
      <c r="N80" s="60">
        <f>SUMIF(Spelarstatistik!A$2:A179, L80, Spelarstatistik!C$2:C179)
</f>
        <v>0</v>
      </c>
      <c r="O80" s="60">
        <f>SUMIF(Spelarstatistik!A$2:A179, L80, Spelarstatistik!D$2:D179)
</f>
        <v>0</v>
      </c>
      <c r="P80" s="60">
        <f>SUMIF(Spelarstatistik!A$2:A179, L80, Spelarstatistik!E$2:E179)
</f>
        <v>0</v>
      </c>
      <c r="Q80" s="60">
        <f>COUNTIF(Spelarstatistik!A$2:A179, L80)
</f>
        <v>0</v>
      </c>
      <c r="R80" s="60">
        <f>SUMIF(Matcher!AC$5:AC179, L80, Matcher!AH$5:AH179)
</f>
        <v>0</v>
      </c>
      <c r="S80" s="60" t="str">
        <f t="shared" si="4"/>
        <v/>
      </c>
    </row>
    <row r="81">
      <c r="A81" s="60"/>
      <c r="B81" s="61"/>
      <c r="C81" s="61"/>
      <c r="D81" s="61"/>
      <c r="E81" s="61"/>
      <c r="F81" s="61"/>
      <c r="G81" s="61"/>
      <c r="H81" s="61"/>
      <c r="I81" s="60"/>
      <c r="J81" s="62"/>
      <c r="K81" s="62"/>
      <c r="L81" s="60"/>
      <c r="M81" s="60">
        <f>SUMIF(Spelarstatistik!A$2:A179, L81, Spelarstatistik!B$2:B179)
</f>
        <v>0</v>
      </c>
      <c r="N81" s="60">
        <f>SUMIF(Spelarstatistik!A$2:A179, L81, Spelarstatistik!C$2:C179)
</f>
        <v>0</v>
      </c>
      <c r="O81" s="60">
        <f>SUMIF(Spelarstatistik!A$2:A179, L81, Spelarstatistik!D$2:D179)
</f>
        <v>0</v>
      </c>
      <c r="P81" s="60">
        <f>SUMIF(Spelarstatistik!A$2:A179, L81, Spelarstatistik!E$2:E179)
</f>
        <v>0</v>
      </c>
      <c r="Q81" s="60">
        <f>COUNTIF(Spelarstatistik!A$2:A179, L81)
</f>
        <v>0</v>
      </c>
      <c r="R81" s="60">
        <f>SUMIF(Matcher!AC$5:AC179, L81, Matcher!AH$5:AH179)
</f>
        <v>0</v>
      </c>
      <c r="S81" s="60" t="str">
        <f t="shared" si="4"/>
        <v/>
      </c>
    </row>
    <row r="82">
      <c r="A82" s="60"/>
      <c r="B82" s="61"/>
      <c r="C82" s="61"/>
      <c r="D82" s="61"/>
      <c r="E82" s="61"/>
      <c r="F82" s="61"/>
      <c r="G82" s="61"/>
      <c r="H82" s="61"/>
      <c r="I82" s="60"/>
      <c r="J82" s="62"/>
      <c r="K82" s="62"/>
      <c r="L82" s="60"/>
      <c r="M82" s="60">
        <f>SUMIF(Spelarstatistik!A$2:A179, L82, Spelarstatistik!B$2:B179)
</f>
        <v>0</v>
      </c>
      <c r="N82" s="60">
        <f>SUMIF(Spelarstatistik!A$2:A179, L82, Spelarstatistik!C$2:C179)
</f>
        <v>0</v>
      </c>
      <c r="O82" s="60">
        <f>SUMIF(Spelarstatistik!A$2:A179, L82, Spelarstatistik!D$2:D179)
</f>
        <v>0</v>
      </c>
      <c r="P82" s="60">
        <f>SUMIF(Spelarstatistik!A$2:A179, L82, Spelarstatistik!E$2:E179)
</f>
        <v>0</v>
      </c>
      <c r="Q82" s="60">
        <f>COUNTIF(Spelarstatistik!A$2:A179, L82)
</f>
        <v>0</v>
      </c>
      <c r="R82" s="60">
        <f>SUMIF(Matcher!AC$5:AC179, L82, Matcher!AH$5:AH179)
</f>
        <v>0</v>
      </c>
      <c r="S82" s="60" t="str">
        <f t="shared" si="4"/>
        <v/>
      </c>
    </row>
    <row r="83">
      <c r="A83" s="60"/>
      <c r="B83" s="61"/>
      <c r="C83" s="61"/>
      <c r="D83" s="61"/>
      <c r="E83" s="61"/>
      <c r="F83" s="61"/>
      <c r="G83" s="61"/>
      <c r="H83" s="61"/>
      <c r="I83" s="60"/>
      <c r="J83" s="62"/>
      <c r="K83" s="62"/>
      <c r="L83" s="60"/>
      <c r="M83" s="60">
        <f>SUMIF(Spelarstatistik!A$2:A179, L83, Spelarstatistik!B$2:B179)
</f>
        <v>0</v>
      </c>
      <c r="N83" s="60">
        <f>SUMIF(Spelarstatistik!A$2:A179, L83, Spelarstatistik!C$2:C179)
</f>
        <v>0</v>
      </c>
      <c r="O83" s="60">
        <f>SUMIF(Spelarstatistik!A$2:A179, L83, Spelarstatistik!D$2:D179)
</f>
        <v>0</v>
      </c>
      <c r="P83" s="60">
        <f>SUMIF(Spelarstatistik!A$2:A179, L83, Spelarstatistik!E$2:E179)
</f>
        <v>0</v>
      </c>
      <c r="Q83" s="60">
        <f>COUNTIF(Spelarstatistik!A$2:A179, L83)
</f>
        <v>0</v>
      </c>
      <c r="R83" s="60">
        <f>SUMIF(Matcher!AC$5:AC179, L83, Matcher!AH$5:AH179)
</f>
        <v>0</v>
      </c>
      <c r="S83" s="60" t="str">
        <f t="shared" si="4"/>
        <v/>
      </c>
    </row>
    <row r="84">
      <c r="A84" s="60"/>
      <c r="B84" s="61"/>
      <c r="C84" s="61"/>
      <c r="D84" s="61"/>
      <c r="E84" s="61"/>
      <c r="F84" s="61"/>
      <c r="G84" s="61"/>
      <c r="H84" s="61"/>
      <c r="I84" s="60"/>
      <c r="J84" s="62"/>
      <c r="K84" s="62"/>
      <c r="L84" s="60"/>
      <c r="M84" s="60">
        <f>SUMIF(Spelarstatistik!A$2:A179, L84, Spelarstatistik!B$2:B179)
</f>
        <v>0</v>
      </c>
      <c r="N84" s="60">
        <f>SUMIF(Spelarstatistik!A$2:A179, L84, Spelarstatistik!C$2:C179)
</f>
        <v>0</v>
      </c>
      <c r="O84" s="60">
        <f>SUMIF(Spelarstatistik!A$2:A179, L84, Spelarstatistik!D$2:D179)
</f>
        <v>0</v>
      </c>
      <c r="P84" s="60">
        <f>SUMIF(Spelarstatistik!A$2:A179, L84, Spelarstatistik!E$2:E179)
</f>
        <v>0</v>
      </c>
      <c r="Q84" s="60">
        <f>COUNTIF(Spelarstatistik!A$2:A179, L84)
</f>
        <v>0</v>
      </c>
      <c r="R84" s="60">
        <f>SUMIF(Matcher!AC$5:AC179, L84, Matcher!AH$5:AH179)
</f>
        <v>0</v>
      </c>
      <c r="S84" s="60" t="str">
        <f t="shared" si="4"/>
        <v/>
      </c>
    </row>
    <row r="85">
      <c r="A85" s="60"/>
      <c r="B85" s="61"/>
      <c r="C85" s="61"/>
      <c r="D85" s="61"/>
      <c r="E85" s="61"/>
      <c r="F85" s="61"/>
      <c r="G85" s="61"/>
      <c r="H85" s="61"/>
      <c r="I85" s="60"/>
      <c r="J85" s="62"/>
      <c r="K85" s="62"/>
      <c r="L85" s="60"/>
      <c r="M85" s="60">
        <f>SUMIF(Spelarstatistik!A$2:A179, L85, Spelarstatistik!B$2:B179)
</f>
        <v>0</v>
      </c>
      <c r="N85" s="60">
        <f>SUMIF(Spelarstatistik!A$2:A179, L85, Spelarstatistik!C$2:C179)
</f>
        <v>0</v>
      </c>
      <c r="O85" s="60">
        <f>SUMIF(Spelarstatistik!A$2:A179, L85, Spelarstatistik!D$2:D179)
</f>
        <v>0</v>
      </c>
      <c r="P85" s="60">
        <f>SUMIF(Spelarstatistik!A$2:A179, L85, Spelarstatistik!E$2:E179)
</f>
        <v>0</v>
      </c>
      <c r="Q85" s="60">
        <f>COUNTIF(Spelarstatistik!A$2:A179, L85)
</f>
        <v>0</v>
      </c>
      <c r="R85" s="60">
        <f>SUMIF(Matcher!AC$5:AC179, L85, Matcher!AH$5:AH179)
</f>
        <v>0</v>
      </c>
      <c r="S85" s="60" t="str">
        <f t="shared" si="4"/>
        <v/>
      </c>
    </row>
    <row r="86">
      <c r="A86" s="60"/>
      <c r="B86" s="61"/>
      <c r="C86" s="61"/>
      <c r="D86" s="61"/>
      <c r="E86" s="61"/>
      <c r="F86" s="61"/>
      <c r="G86" s="61"/>
      <c r="H86" s="61"/>
      <c r="I86" s="60"/>
      <c r="J86" s="62"/>
      <c r="K86" s="62"/>
      <c r="L86" s="60"/>
      <c r="M86" s="60">
        <f>SUMIF(Spelarstatistik!A$2:A179, L86, Spelarstatistik!B$2:B179)
</f>
        <v>0</v>
      </c>
      <c r="N86" s="60">
        <f>SUMIF(Spelarstatistik!A$2:A179, L86, Spelarstatistik!C$2:C179)
</f>
        <v>0</v>
      </c>
      <c r="O86" s="60">
        <f>SUMIF(Spelarstatistik!A$2:A179, L86, Spelarstatistik!D$2:D179)
</f>
        <v>0</v>
      </c>
      <c r="P86" s="60">
        <f>SUMIF(Spelarstatistik!A$2:A179, L86, Spelarstatistik!E$2:E179)
</f>
        <v>0</v>
      </c>
      <c r="Q86" s="60">
        <f>COUNTIF(Spelarstatistik!A$2:A179, L86)
</f>
        <v>0</v>
      </c>
      <c r="R86" s="60">
        <f>SUMIF(Matcher!AC$5:AC179, L86, Matcher!AH$5:AH179)
</f>
        <v>0</v>
      </c>
      <c r="S86" s="60" t="str">
        <f t="shared" si="4"/>
        <v/>
      </c>
    </row>
    <row r="87">
      <c r="A87" s="60"/>
      <c r="B87" s="61"/>
      <c r="C87" s="61"/>
      <c r="D87" s="61"/>
      <c r="E87" s="61"/>
      <c r="F87" s="61"/>
      <c r="G87" s="61"/>
      <c r="H87" s="61"/>
      <c r="I87" s="60"/>
      <c r="J87" s="62"/>
      <c r="K87" s="62"/>
      <c r="L87" s="60"/>
      <c r="M87" s="60">
        <f>SUMIF(Spelarstatistik!A$2:A179, L87, Spelarstatistik!B$2:B179)
</f>
        <v>0</v>
      </c>
      <c r="N87" s="60">
        <f>SUMIF(Spelarstatistik!A$2:A179, L87, Spelarstatistik!C$2:C179)
</f>
        <v>0</v>
      </c>
      <c r="O87" s="60">
        <f>SUMIF(Spelarstatistik!A$2:A179, L87, Spelarstatistik!D$2:D179)
</f>
        <v>0</v>
      </c>
      <c r="P87" s="60">
        <f>SUMIF(Spelarstatistik!A$2:A179, L87, Spelarstatistik!E$2:E179)
</f>
        <v>0</v>
      </c>
      <c r="Q87" s="60">
        <f>COUNTIF(Spelarstatistik!A$2:A179, L87)
</f>
        <v>0</v>
      </c>
      <c r="R87" s="60">
        <f>SUMIF(Matcher!AC$5:AC179, L87, Matcher!AH$5:AH179)
</f>
        <v>0</v>
      </c>
      <c r="S87" s="60" t="str">
        <f t="shared" si="4"/>
        <v/>
      </c>
    </row>
    <row r="88">
      <c r="A88" s="60"/>
      <c r="B88" s="61"/>
      <c r="C88" s="61"/>
      <c r="D88" s="61"/>
      <c r="E88" s="61"/>
      <c r="F88" s="61"/>
      <c r="G88" s="61"/>
      <c r="H88" s="61"/>
      <c r="I88" s="60"/>
      <c r="J88" s="62"/>
      <c r="K88" s="62"/>
      <c r="L88" s="60"/>
      <c r="M88" s="60">
        <f>SUMIF(Spelarstatistik!A$2:A179, L88, Spelarstatistik!B$2:B179)
</f>
        <v>0</v>
      </c>
      <c r="N88" s="60">
        <f>SUMIF(Spelarstatistik!A$2:A179, L88, Spelarstatistik!C$2:C179)
</f>
        <v>0</v>
      </c>
      <c r="O88" s="60">
        <f>SUMIF(Spelarstatistik!A$2:A179, L88, Spelarstatistik!D$2:D179)
</f>
        <v>0</v>
      </c>
      <c r="P88" s="60">
        <f>SUMIF(Spelarstatistik!A$2:A179, L88, Spelarstatistik!E$2:E179)
</f>
        <v>0</v>
      </c>
      <c r="Q88" s="60">
        <f>COUNTIF(Spelarstatistik!A$2:A179, L88)
</f>
        <v>0</v>
      </c>
      <c r="R88" s="60">
        <f>SUMIF(Matcher!AC$5:AC179, L88, Matcher!AH$5:AH179)
</f>
        <v>0</v>
      </c>
      <c r="S88" s="60" t="str">
        <f t="shared" si="4"/>
        <v/>
      </c>
    </row>
    <row r="89">
      <c r="A89" s="60"/>
      <c r="B89" s="61"/>
      <c r="C89" s="61"/>
      <c r="D89" s="61"/>
      <c r="E89" s="61"/>
      <c r="F89" s="61"/>
      <c r="G89" s="61"/>
      <c r="H89" s="61"/>
      <c r="I89" s="60"/>
      <c r="J89" s="62"/>
      <c r="K89" s="62"/>
      <c r="L89" s="60"/>
      <c r="M89" s="60">
        <f>SUMIF(Spelarstatistik!A$2:A179, L89, Spelarstatistik!B$2:B179)
</f>
        <v>0</v>
      </c>
      <c r="N89" s="60">
        <f>SUMIF(Spelarstatistik!A$2:A179, L89, Spelarstatistik!C$2:C179)
</f>
        <v>0</v>
      </c>
      <c r="O89" s="60">
        <f>SUMIF(Spelarstatistik!A$2:A179, L89, Spelarstatistik!D$2:D179)
</f>
        <v>0</v>
      </c>
      <c r="P89" s="60">
        <f>SUMIF(Spelarstatistik!A$2:A179, L89, Spelarstatistik!E$2:E179)
</f>
        <v>0</v>
      </c>
      <c r="Q89" s="60">
        <f>COUNTIF(Spelarstatistik!A$2:A179, L89)
</f>
        <v>0</v>
      </c>
      <c r="R89" s="60">
        <f>SUMIF(Matcher!AC$5:AC179, L89, Matcher!AH$5:AH179)
</f>
        <v>0</v>
      </c>
      <c r="S89" s="60" t="str">
        <f t="shared" si="4"/>
        <v/>
      </c>
    </row>
    <row r="90">
      <c r="A90" s="60"/>
      <c r="B90" s="61"/>
      <c r="C90" s="61"/>
      <c r="D90" s="61"/>
      <c r="E90" s="61"/>
      <c r="F90" s="61"/>
      <c r="G90" s="61"/>
      <c r="H90" s="61"/>
      <c r="I90" s="60"/>
      <c r="J90" s="62"/>
      <c r="K90" s="62"/>
      <c r="L90" s="60"/>
      <c r="M90" s="60">
        <f>SUMIF(Spelarstatistik!A$2:A179, L90, Spelarstatistik!B$2:B179)
</f>
        <v>0</v>
      </c>
      <c r="N90" s="60">
        <f>SUMIF(Spelarstatistik!A$2:A179, L90, Spelarstatistik!C$2:C179)
</f>
        <v>0</v>
      </c>
      <c r="O90" s="60">
        <f>SUMIF(Spelarstatistik!A$2:A179, L90, Spelarstatistik!D$2:D179)
</f>
        <v>0</v>
      </c>
      <c r="P90" s="60">
        <f>SUMIF(Spelarstatistik!A$2:A179, L90, Spelarstatistik!E$2:E179)
</f>
        <v>0</v>
      </c>
      <c r="Q90" s="60">
        <f>COUNTIF(Spelarstatistik!A$2:A179, L90)
</f>
        <v>0</v>
      </c>
      <c r="R90" s="60">
        <f>SUMIF(Matcher!AC$5:AC179, L90, Matcher!AH$5:AH179)
</f>
        <v>0</v>
      </c>
      <c r="S90" s="60" t="str">
        <f t="shared" si="4"/>
        <v/>
      </c>
    </row>
    <row r="91">
      <c r="A91" s="60"/>
      <c r="B91" s="61"/>
      <c r="C91" s="61"/>
      <c r="D91" s="61"/>
      <c r="E91" s="61"/>
      <c r="F91" s="61"/>
      <c r="G91" s="61"/>
      <c r="H91" s="61"/>
      <c r="I91" s="60"/>
      <c r="J91" s="62"/>
      <c r="K91" s="62"/>
      <c r="L91" s="60"/>
      <c r="M91" s="60">
        <f>SUMIF(Spelarstatistik!A$2:A179, L91, Spelarstatistik!B$2:B179)
</f>
        <v>0</v>
      </c>
      <c r="N91" s="60">
        <f>SUMIF(Spelarstatistik!A$2:A179, L91, Spelarstatistik!C$2:C179)
</f>
        <v>0</v>
      </c>
      <c r="O91" s="60">
        <f>SUMIF(Spelarstatistik!A$2:A179, L91, Spelarstatistik!D$2:D179)
</f>
        <v>0</v>
      </c>
      <c r="P91" s="60">
        <f>SUMIF(Spelarstatistik!A$2:A179, L91, Spelarstatistik!E$2:E179)
</f>
        <v>0</v>
      </c>
      <c r="Q91" s="60">
        <f>COUNTIF(Spelarstatistik!A$2:A179, L91)
</f>
        <v>0</v>
      </c>
      <c r="R91" s="60">
        <f>SUMIF(Matcher!AC$5:AC179, L91, Matcher!AH$5:AH179)
</f>
        <v>0</v>
      </c>
      <c r="S91" s="60" t="str">
        <f t="shared" si="4"/>
        <v/>
      </c>
    </row>
    <row r="92">
      <c r="A92" s="60"/>
      <c r="B92" s="61"/>
      <c r="C92" s="61"/>
      <c r="D92" s="61"/>
      <c r="E92" s="61"/>
      <c r="F92" s="61"/>
      <c r="G92" s="61"/>
      <c r="H92" s="61"/>
      <c r="I92" s="60"/>
      <c r="J92" s="62"/>
      <c r="K92" s="62"/>
      <c r="L92" s="60"/>
      <c r="M92" s="60">
        <f>SUMIF(Spelarstatistik!A$2:A179, L92, Spelarstatistik!B$2:B179)
</f>
        <v>0</v>
      </c>
      <c r="N92" s="60">
        <f>SUMIF(Spelarstatistik!A$2:A179, L92, Spelarstatistik!C$2:C179)
</f>
        <v>0</v>
      </c>
      <c r="O92" s="60">
        <f>SUMIF(Spelarstatistik!A$2:A179, L92, Spelarstatistik!D$2:D179)
</f>
        <v>0</v>
      </c>
      <c r="P92" s="60">
        <f>SUMIF(Spelarstatistik!A$2:A179, L92, Spelarstatistik!E$2:E179)
</f>
        <v>0</v>
      </c>
      <c r="Q92" s="60">
        <f>COUNTIF(Spelarstatistik!A$2:A179, L92)
</f>
        <v>0</v>
      </c>
      <c r="R92" s="60">
        <f>SUMIF(Matcher!AC$5:AC179, L92, Matcher!AH$5:AH179)
</f>
        <v>0</v>
      </c>
      <c r="S92" s="60" t="str">
        <f t="shared" si="4"/>
        <v/>
      </c>
    </row>
    <row r="93">
      <c r="A93" s="60"/>
      <c r="B93" s="61"/>
      <c r="C93" s="61"/>
      <c r="D93" s="61"/>
      <c r="E93" s="61"/>
      <c r="F93" s="61"/>
      <c r="G93" s="61"/>
      <c r="H93" s="61"/>
      <c r="I93" s="60"/>
      <c r="J93" s="62"/>
      <c r="K93" s="62"/>
      <c r="L93" s="60"/>
      <c r="M93" s="60">
        <f>SUMIF(Spelarstatistik!A$2:A179, L93, Spelarstatistik!B$2:B179)
</f>
        <v>0</v>
      </c>
      <c r="N93" s="60">
        <f>SUMIF(Spelarstatistik!A$2:A179, L93, Spelarstatistik!C$2:C179)
</f>
        <v>0</v>
      </c>
      <c r="O93" s="60">
        <f>SUMIF(Spelarstatistik!A$2:A179, L93, Spelarstatistik!D$2:D179)
</f>
        <v>0</v>
      </c>
      <c r="P93" s="60">
        <f>SUMIF(Spelarstatistik!A$2:A179, L93, Spelarstatistik!E$2:E179)
</f>
        <v>0</v>
      </c>
      <c r="Q93" s="60">
        <f>COUNTIF(Spelarstatistik!A$2:A179, L93)
</f>
        <v>0</v>
      </c>
      <c r="R93" s="60">
        <f>SUMIF(Matcher!AC$5:AC179, L93, Matcher!AH$5:AH179)
</f>
        <v>0</v>
      </c>
      <c r="S93" s="60" t="str">
        <f t="shared" si="4"/>
        <v/>
      </c>
    </row>
    <row r="94">
      <c r="A94" s="60"/>
      <c r="B94" s="61"/>
      <c r="C94" s="61"/>
      <c r="D94" s="61"/>
      <c r="E94" s="61"/>
      <c r="F94" s="61"/>
      <c r="G94" s="61"/>
      <c r="H94" s="61"/>
      <c r="I94" s="60"/>
      <c r="J94" s="62"/>
      <c r="K94" s="62"/>
      <c r="L94" s="60"/>
      <c r="M94" s="60">
        <f>SUMIF(Spelarstatistik!A$2:A179, L94, Spelarstatistik!B$2:B179)
</f>
        <v>0</v>
      </c>
      <c r="N94" s="60">
        <f>SUMIF(Spelarstatistik!A$2:A179, L94, Spelarstatistik!C$2:C179)
</f>
        <v>0</v>
      </c>
      <c r="O94" s="60">
        <f>SUMIF(Spelarstatistik!A$2:A179, L94, Spelarstatistik!D$2:D179)
</f>
        <v>0</v>
      </c>
      <c r="P94" s="60">
        <f>SUMIF(Spelarstatistik!A$2:A179, L94, Spelarstatistik!E$2:E179)
</f>
        <v>0</v>
      </c>
      <c r="Q94" s="60">
        <f>COUNTIF(Spelarstatistik!A$2:A179, L94)
</f>
        <v>0</v>
      </c>
      <c r="R94" s="60">
        <f>SUMIF(Matcher!AC$5:AC179, L94, Matcher!AH$5:AH179)
</f>
        <v>0</v>
      </c>
      <c r="S94" s="60" t="str">
        <f t="shared" si="4"/>
        <v/>
      </c>
    </row>
    <row r="95">
      <c r="A95" s="60"/>
      <c r="B95" s="61"/>
      <c r="C95" s="61"/>
      <c r="D95" s="61"/>
      <c r="E95" s="61"/>
      <c r="F95" s="61"/>
      <c r="G95" s="61"/>
      <c r="H95" s="61"/>
      <c r="I95" s="60"/>
      <c r="J95" s="62"/>
      <c r="K95" s="62"/>
      <c r="L95" s="60"/>
      <c r="M95" s="60">
        <f>SUMIF(Spelarstatistik!A$2:A179, L95, Spelarstatistik!B$2:B179)
</f>
        <v>0</v>
      </c>
      <c r="N95" s="60">
        <f>SUMIF(Spelarstatistik!A$2:A179, L95, Spelarstatistik!C$2:C179)
</f>
        <v>0</v>
      </c>
      <c r="O95" s="60">
        <f>SUMIF(Spelarstatistik!A$2:A179, L95, Spelarstatistik!D$2:D179)
</f>
        <v>0</v>
      </c>
      <c r="P95" s="60">
        <f>SUMIF(Spelarstatistik!A$2:A179, L95, Spelarstatistik!E$2:E179)
</f>
        <v>0</v>
      </c>
      <c r="Q95" s="60">
        <f>COUNTIF(Spelarstatistik!A$2:A179, L95)
</f>
        <v>0</v>
      </c>
      <c r="R95" s="60">
        <f>SUMIF(Matcher!AC$5:AC179, L95, Matcher!AH$5:AH179)
</f>
        <v>0</v>
      </c>
      <c r="S95" s="60" t="str">
        <f t="shared" si="4"/>
        <v/>
      </c>
    </row>
    <row r="96">
      <c r="A96" s="60"/>
      <c r="B96" s="61"/>
      <c r="C96" s="61"/>
      <c r="D96" s="61"/>
      <c r="E96" s="61"/>
      <c r="F96" s="61"/>
      <c r="G96" s="61"/>
      <c r="H96" s="61"/>
      <c r="I96" s="60"/>
      <c r="J96" s="62"/>
      <c r="K96" s="62"/>
      <c r="L96" s="60"/>
      <c r="M96" s="60">
        <f>SUMIF(Spelarstatistik!A$2:A179, L96, Spelarstatistik!B$2:B179)
</f>
        <v>0</v>
      </c>
      <c r="N96" s="60">
        <f>SUMIF(Spelarstatistik!A$2:A179, L96, Spelarstatistik!C$2:C179)
</f>
        <v>0</v>
      </c>
      <c r="O96" s="60">
        <f>SUMIF(Spelarstatistik!A$2:A179, L96, Spelarstatistik!D$2:D179)
</f>
        <v>0</v>
      </c>
      <c r="P96" s="60">
        <f>SUMIF(Spelarstatistik!A$2:A179, L96, Spelarstatistik!E$2:E179)
</f>
        <v>0</v>
      </c>
      <c r="Q96" s="60">
        <f>COUNTIF(Spelarstatistik!A$2:A179, L96)
</f>
        <v>0</v>
      </c>
      <c r="R96" s="60">
        <f>SUMIF(Matcher!AC$5:AC179, L96, Matcher!AH$5:AH179)
</f>
        <v>0</v>
      </c>
      <c r="S96" s="60" t="str">
        <f t="shared" si="4"/>
        <v/>
      </c>
    </row>
    <row r="97">
      <c r="A97" s="60"/>
      <c r="B97" s="61"/>
      <c r="C97" s="61"/>
      <c r="D97" s="61"/>
      <c r="E97" s="61"/>
      <c r="F97" s="61"/>
      <c r="G97" s="61"/>
      <c r="H97" s="61"/>
      <c r="I97" s="60"/>
      <c r="J97" s="62"/>
      <c r="K97" s="62"/>
      <c r="L97" s="60"/>
      <c r="M97" s="60">
        <f>SUMIF(Spelarstatistik!A$2:A179, L97, Spelarstatistik!B$2:B179)
</f>
        <v>0</v>
      </c>
      <c r="N97" s="60">
        <f>SUMIF(Spelarstatistik!A$2:A179, L97, Spelarstatistik!C$2:C179)
</f>
        <v>0</v>
      </c>
      <c r="O97" s="60">
        <f>SUMIF(Spelarstatistik!A$2:A179, L97, Spelarstatistik!D$2:D179)
</f>
        <v>0</v>
      </c>
      <c r="P97" s="60">
        <f>SUMIF(Spelarstatistik!A$2:A179, L97, Spelarstatistik!E$2:E179)
</f>
        <v>0</v>
      </c>
      <c r="Q97" s="60">
        <f>COUNTIF(Spelarstatistik!A$2:A179, L97)
</f>
        <v>0</v>
      </c>
      <c r="R97" s="60">
        <f>SUMIF(Matcher!AC$5:AC179, L97, Matcher!AH$5:AH179)
</f>
        <v>0</v>
      </c>
      <c r="S97" s="60" t="str">
        <f t="shared" si="4"/>
        <v/>
      </c>
    </row>
    <row r="98">
      <c r="A98" s="60"/>
      <c r="B98" s="61"/>
      <c r="C98" s="61"/>
      <c r="D98" s="61"/>
      <c r="E98" s="61"/>
      <c r="F98" s="61"/>
      <c r="G98" s="61"/>
      <c r="H98" s="61"/>
      <c r="I98" s="60"/>
      <c r="J98" s="62"/>
      <c r="K98" s="62"/>
      <c r="L98" s="60"/>
      <c r="M98" s="60">
        <f>SUMIF(Spelarstatistik!A$2:A179, L98, Spelarstatistik!B$2:B179)
</f>
        <v>0</v>
      </c>
      <c r="N98" s="60">
        <f>SUMIF(Spelarstatistik!A$2:A179, L98, Spelarstatistik!C$2:C179)
</f>
        <v>0</v>
      </c>
      <c r="O98" s="60">
        <f>SUMIF(Spelarstatistik!A$2:A179, L98, Spelarstatistik!D$2:D179)
</f>
        <v>0</v>
      </c>
      <c r="P98" s="60">
        <f>SUMIF(Spelarstatistik!A$2:A179, L98, Spelarstatistik!E$2:E179)
</f>
        <v>0</v>
      </c>
      <c r="Q98" s="60">
        <f>COUNTIF(Spelarstatistik!A$2:A179, L98)
</f>
        <v>0</v>
      </c>
      <c r="R98" s="60">
        <f>SUMIF(Matcher!AC$5:AC179, L98, Matcher!AH$5:AH179)
</f>
        <v>0</v>
      </c>
      <c r="S98" s="60" t="str">
        <f t="shared" si="4"/>
        <v/>
      </c>
    </row>
    <row r="99">
      <c r="A99" s="60"/>
      <c r="B99" s="61"/>
      <c r="C99" s="61"/>
      <c r="D99" s="61"/>
      <c r="E99" s="61"/>
      <c r="F99" s="61"/>
      <c r="G99" s="61"/>
      <c r="H99" s="61"/>
      <c r="I99" s="60"/>
      <c r="J99" s="62"/>
      <c r="K99" s="62"/>
      <c r="L99" s="60"/>
      <c r="M99" s="60">
        <f>SUMIF(Spelarstatistik!A$2:A179, L99, Spelarstatistik!B$2:B179)
</f>
        <v>0</v>
      </c>
      <c r="N99" s="60">
        <f>SUMIF(Spelarstatistik!A$2:A179, L99, Spelarstatistik!C$2:C179)
</f>
        <v>0</v>
      </c>
      <c r="O99" s="60">
        <f>SUMIF(Spelarstatistik!A$2:A179, L99, Spelarstatistik!D$2:D179)
</f>
        <v>0</v>
      </c>
      <c r="P99" s="60">
        <f>SUMIF(Spelarstatistik!A$2:A179, L99, Spelarstatistik!E$2:E179)
</f>
        <v>0</v>
      </c>
      <c r="Q99" s="60">
        <f>COUNTIF(Spelarstatistik!A$2:A179, L99)
</f>
        <v>0</v>
      </c>
      <c r="R99" s="60">
        <f>SUMIF(Matcher!AC$5:AC179, L99, Matcher!AH$5:AH179)
</f>
        <v>0</v>
      </c>
      <c r="S99" s="60" t="str">
        <f t="shared" si="4"/>
        <v/>
      </c>
    </row>
    <row r="100">
      <c r="A100" s="60"/>
      <c r="B100" s="61"/>
      <c r="C100" s="61"/>
      <c r="D100" s="61"/>
      <c r="E100" s="61"/>
      <c r="F100" s="61"/>
      <c r="G100" s="61"/>
      <c r="H100" s="61"/>
      <c r="I100" s="60"/>
      <c r="J100" s="62"/>
      <c r="K100" s="62"/>
      <c r="L100" s="60"/>
      <c r="M100" s="60">
        <f>SUMIF(Spelarstatistik!A$2:A179, L100, Spelarstatistik!B$2:B179)
</f>
        <v>0</v>
      </c>
      <c r="N100" s="60">
        <f>SUMIF(Spelarstatistik!A$2:A179, L100, Spelarstatistik!C$2:C179)
</f>
        <v>0</v>
      </c>
      <c r="O100" s="60">
        <f>SUMIF(Spelarstatistik!A$2:A179, L100, Spelarstatistik!D$2:D179)
</f>
        <v>0</v>
      </c>
      <c r="P100" s="60">
        <f>SUMIF(Spelarstatistik!A$2:A179, L100, Spelarstatistik!E$2:E179)
</f>
        <v>0</v>
      </c>
      <c r="Q100" s="60">
        <f>COUNTIF(Spelarstatistik!A$2:A179, L100)
</f>
        <v>0</v>
      </c>
      <c r="R100" s="60">
        <f>SUMIF(Matcher!AC$5:AC179, L100, Matcher!AH$5:AH179)
</f>
        <v>0</v>
      </c>
      <c r="S100" s="60" t="str">
        <f t="shared" si="4"/>
        <v/>
      </c>
    </row>
    <row r="101">
      <c r="A101" s="60"/>
      <c r="B101" s="61"/>
      <c r="C101" s="61"/>
      <c r="D101" s="61"/>
      <c r="E101" s="61"/>
      <c r="F101" s="61"/>
      <c r="G101" s="61"/>
      <c r="H101" s="61"/>
      <c r="I101" s="60"/>
      <c r="J101" s="62"/>
      <c r="K101" s="62"/>
      <c r="L101" s="60"/>
      <c r="M101" s="60">
        <f>SUMIF(Spelarstatistik!A$2:A179, L101, Spelarstatistik!B$2:B179)
</f>
        <v>0</v>
      </c>
      <c r="N101" s="60">
        <f>SUMIF(Spelarstatistik!A$2:A179, L101, Spelarstatistik!C$2:C179)
</f>
        <v>0</v>
      </c>
      <c r="O101" s="60">
        <f>SUMIF(Spelarstatistik!A$2:A179, L101, Spelarstatistik!D$2:D179)
</f>
        <v>0</v>
      </c>
      <c r="P101" s="60">
        <f>SUMIF(Spelarstatistik!A$2:A179, L101, Spelarstatistik!E$2:E179)
</f>
        <v>0</v>
      </c>
      <c r="Q101" s="60">
        <f>COUNTIF(Spelarstatistik!A$2:A179, L101)
</f>
        <v>0</v>
      </c>
      <c r="R101" s="60">
        <f>SUMIF(Matcher!AC$5:AC179, L101, Matcher!AH$5:AH179)
</f>
        <v>0</v>
      </c>
      <c r="S101" s="60" t="str">
        <f t="shared" si="4"/>
        <v/>
      </c>
    </row>
    <row r="102">
      <c r="A102" s="60"/>
      <c r="B102" s="61"/>
      <c r="C102" s="61"/>
      <c r="D102" s="61"/>
      <c r="E102" s="61"/>
      <c r="F102" s="61"/>
      <c r="G102" s="61"/>
      <c r="H102" s="61"/>
      <c r="I102" s="60"/>
      <c r="J102" s="62"/>
      <c r="K102" s="62"/>
      <c r="L102" s="60"/>
      <c r="M102" s="60">
        <f>SUMIF(Spelarstatistik!A$2:A179, L102, Spelarstatistik!B$2:B179)
</f>
        <v>0</v>
      </c>
      <c r="N102" s="60">
        <f>SUMIF(Spelarstatistik!A$2:A179, L102, Spelarstatistik!C$2:C179)
</f>
        <v>0</v>
      </c>
      <c r="O102" s="60">
        <f>SUMIF(Spelarstatistik!A$2:A179, L102, Spelarstatistik!D$2:D179)
</f>
        <v>0</v>
      </c>
      <c r="P102" s="60">
        <f>SUMIF(Spelarstatistik!A$2:A179, L102, Spelarstatistik!E$2:E179)
</f>
        <v>0</v>
      </c>
      <c r="Q102" s="60">
        <f>COUNTIF(Spelarstatistik!A$2:A179, L102)
</f>
        <v>0</v>
      </c>
      <c r="R102" s="60">
        <f>SUMIF(Matcher!AC$5:AC179, L102, Matcher!AH$5:AH179)
</f>
        <v>0</v>
      </c>
      <c r="S102" s="60" t="str">
        <f t="shared" si="4"/>
        <v/>
      </c>
    </row>
    <row r="103">
      <c r="A103" s="60"/>
      <c r="B103" s="61"/>
      <c r="C103" s="61"/>
      <c r="D103" s="61"/>
      <c r="E103" s="61"/>
      <c r="F103" s="61"/>
      <c r="G103" s="61"/>
      <c r="H103" s="61"/>
      <c r="I103" s="60"/>
      <c r="J103" s="62"/>
      <c r="K103" s="62"/>
      <c r="L103" s="60"/>
      <c r="M103" s="60">
        <f>SUMIF(Spelarstatistik!A$2:A179, L103, Spelarstatistik!B$2:B179)
</f>
        <v>0</v>
      </c>
      <c r="N103" s="60">
        <f>SUMIF(Spelarstatistik!A$2:A179, L103, Spelarstatistik!C$2:C179)
</f>
        <v>0</v>
      </c>
      <c r="O103" s="60">
        <f>SUMIF(Spelarstatistik!A$2:A179, L103, Spelarstatistik!D$2:D179)
</f>
        <v>0</v>
      </c>
      <c r="P103" s="60">
        <f>SUMIF(Spelarstatistik!A$2:A179, L103, Spelarstatistik!E$2:E179)
</f>
        <v>0</v>
      </c>
      <c r="Q103" s="60">
        <f>COUNTIF(Spelarstatistik!A$2:A179, L103)
</f>
        <v>0</v>
      </c>
      <c r="R103" s="60">
        <f>SUMIF(Matcher!AC$5:AC179, L103, Matcher!AH$5:AH179)
</f>
        <v>0</v>
      </c>
      <c r="S103" s="60" t="str">
        <f t="shared" si="4"/>
        <v/>
      </c>
    </row>
    <row r="104">
      <c r="A104" s="60"/>
      <c r="B104" s="61"/>
      <c r="C104" s="61"/>
      <c r="D104" s="61"/>
      <c r="E104" s="61"/>
      <c r="F104" s="61"/>
      <c r="G104" s="61"/>
      <c r="H104" s="61"/>
      <c r="I104" s="60"/>
      <c r="J104" s="62"/>
      <c r="K104" s="62"/>
      <c r="L104" s="60"/>
      <c r="M104" s="60">
        <f>SUMIF(Spelarstatistik!A$2:A179, L104, Spelarstatistik!B$2:B179)
</f>
        <v>0</v>
      </c>
      <c r="N104" s="60">
        <f>SUMIF(Spelarstatistik!A$2:A179, L104, Spelarstatistik!C$2:C179)
</f>
        <v>0</v>
      </c>
      <c r="O104" s="60">
        <f>SUMIF(Spelarstatistik!A$2:A179, L104, Spelarstatistik!D$2:D179)
</f>
        <v>0</v>
      </c>
      <c r="P104" s="60">
        <f>SUMIF(Spelarstatistik!A$2:A179, L104, Spelarstatistik!E$2:E179)
</f>
        <v>0</v>
      </c>
      <c r="Q104" s="60">
        <f>COUNTIF(Spelarstatistik!A$2:A179, L104)
</f>
        <v>0</v>
      </c>
      <c r="R104" s="60">
        <f>SUMIF(Matcher!AC$5:AC179, L104, Matcher!AH$5:AH179)
</f>
        <v>0</v>
      </c>
      <c r="S104" s="60" t="str">
        <f t="shared" si="4"/>
        <v/>
      </c>
    </row>
    <row r="105">
      <c r="A105" s="60"/>
      <c r="B105" s="61"/>
      <c r="C105" s="61"/>
      <c r="D105" s="61"/>
      <c r="E105" s="61"/>
      <c r="F105" s="61"/>
      <c r="G105" s="61"/>
      <c r="H105" s="61"/>
      <c r="I105" s="60"/>
      <c r="J105" s="62"/>
      <c r="K105" s="62"/>
      <c r="L105" s="60"/>
      <c r="M105" s="60">
        <f>SUMIF(Spelarstatistik!A$2:A179, L105, Spelarstatistik!B$2:B179)
</f>
        <v>0</v>
      </c>
      <c r="N105" s="60">
        <f>SUMIF(Spelarstatistik!A$2:A179, L105, Spelarstatistik!C$2:C179)
</f>
        <v>0</v>
      </c>
      <c r="O105" s="60">
        <f>SUMIF(Spelarstatistik!A$2:A179, L105, Spelarstatistik!D$2:D179)
</f>
        <v>0</v>
      </c>
      <c r="P105" s="60">
        <f>SUMIF(Spelarstatistik!A$2:A179, L105, Spelarstatistik!E$2:E179)
</f>
        <v>0</v>
      </c>
      <c r="Q105" s="60">
        <f>COUNTIF(Spelarstatistik!A$2:A179, L105)
</f>
        <v>0</v>
      </c>
      <c r="R105" s="60">
        <f>SUMIF(Matcher!AC$5:AC179, L105, Matcher!AH$5:AH179)
</f>
        <v>0</v>
      </c>
      <c r="S105" s="60" t="str">
        <f t="shared" si="4"/>
        <v/>
      </c>
    </row>
    <row r="106">
      <c r="A106" s="60"/>
      <c r="B106" s="61"/>
      <c r="C106" s="61"/>
      <c r="D106" s="61"/>
      <c r="E106" s="61"/>
      <c r="F106" s="61"/>
      <c r="G106" s="61"/>
      <c r="H106" s="61"/>
      <c r="I106" s="60"/>
      <c r="J106" s="62"/>
      <c r="K106" s="62"/>
      <c r="L106" s="60"/>
      <c r="M106" s="60">
        <f>SUMIF(Spelarstatistik!A$2:A179, L106, Spelarstatistik!B$2:B179)
</f>
        <v>0</v>
      </c>
      <c r="N106" s="60">
        <f>SUMIF(Spelarstatistik!A$2:A179, L106, Spelarstatistik!C$2:C179)
</f>
        <v>0</v>
      </c>
      <c r="O106" s="60">
        <f>SUMIF(Spelarstatistik!A$2:A179, L106, Spelarstatistik!D$2:D179)
</f>
        <v>0</v>
      </c>
      <c r="P106" s="60">
        <f>SUMIF(Spelarstatistik!A$2:A179, L106, Spelarstatistik!E$2:E179)
</f>
        <v>0</v>
      </c>
      <c r="Q106" s="60">
        <f>COUNTIF(Spelarstatistik!A$2:A179, L106)
</f>
        <v>0</v>
      </c>
      <c r="R106" s="60">
        <f>SUMIF(Matcher!AC$5:AC179, L106, Matcher!AH$5:AH179)
</f>
        <v>0</v>
      </c>
      <c r="S106" s="60" t="str">
        <f t="shared" si="4"/>
        <v/>
      </c>
    </row>
    <row r="107">
      <c r="A107" s="60"/>
      <c r="B107" s="61"/>
      <c r="C107" s="61"/>
      <c r="D107" s="61"/>
      <c r="E107" s="61"/>
      <c r="F107" s="61"/>
      <c r="G107" s="61"/>
      <c r="H107" s="61"/>
      <c r="I107" s="60"/>
      <c r="J107" s="62"/>
      <c r="K107" s="62"/>
      <c r="L107" s="60"/>
      <c r="M107" s="60">
        <f>SUMIF(Spelarstatistik!A$2:A179, L107, Spelarstatistik!B$2:B179)
</f>
        <v>0</v>
      </c>
      <c r="N107" s="60">
        <f>SUMIF(Spelarstatistik!A$2:A179, L107, Spelarstatistik!C$2:C179)
</f>
        <v>0</v>
      </c>
      <c r="O107" s="60">
        <f>SUMIF(Spelarstatistik!A$2:A179, L107, Spelarstatistik!D$2:D179)
</f>
        <v>0</v>
      </c>
      <c r="P107" s="60">
        <f>SUMIF(Spelarstatistik!A$2:A179, L107, Spelarstatistik!E$2:E179)
</f>
        <v>0</v>
      </c>
      <c r="Q107" s="60">
        <f>COUNTIF(Spelarstatistik!A$2:A179, L107)
</f>
        <v>0</v>
      </c>
      <c r="R107" s="60">
        <f>SUMIF(Matcher!AC$5:AC179, L107, Matcher!AH$5:AH179)
</f>
        <v>0</v>
      </c>
      <c r="S107" s="60" t="str">
        <f t="shared" si="4"/>
        <v/>
      </c>
    </row>
    <row r="108">
      <c r="A108" s="60"/>
      <c r="B108" s="61"/>
      <c r="C108" s="61"/>
      <c r="D108" s="61"/>
      <c r="E108" s="61"/>
      <c r="F108" s="61"/>
      <c r="G108" s="61"/>
      <c r="H108" s="61"/>
      <c r="I108" s="60"/>
      <c r="J108" s="62"/>
      <c r="K108" s="62"/>
      <c r="L108" s="60"/>
      <c r="M108" s="60">
        <f>SUMIF(Spelarstatistik!A$2:A179, L108, Spelarstatistik!B$2:B179)
</f>
        <v>0</v>
      </c>
      <c r="N108" s="60">
        <f>SUMIF(Spelarstatistik!A$2:A179, L108, Spelarstatistik!C$2:C179)
</f>
        <v>0</v>
      </c>
      <c r="O108" s="60">
        <f>SUMIF(Spelarstatistik!A$2:A179, L108, Spelarstatistik!D$2:D179)
</f>
        <v>0</v>
      </c>
      <c r="P108" s="60">
        <f>SUMIF(Spelarstatistik!A$2:A179, L108, Spelarstatistik!E$2:E179)
</f>
        <v>0</v>
      </c>
      <c r="Q108" s="60">
        <f>COUNTIF(Spelarstatistik!A$2:A179, L108)
</f>
        <v>0</v>
      </c>
      <c r="R108" s="60">
        <f>SUMIF(Matcher!AC$5:AC179, L108, Matcher!AH$5:AH179)
</f>
        <v>0</v>
      </c>
      <c r="S108" s="60" t="str">
        <f t="shared" si="4"/>
        <v/>
      </c>
    </row>
    <row r="109">
      <c r="A109" s="60"/>
      <c r="B109" s="61"/>
      <c r="C109" s="61"/>
      <c r="D109" s="61"/>
      <c r="E109" s="61"/>
      <c r="F109" s="61"/>
      <c r="G109" s="61"/>
      <c r="H109" s="61"/>
      <c r="I109" s="60"/>
      <c r="J109" s="62"/>
      <c r="K109" s="62"/>
      <c r="L109" s="60"/>
      <c r="M109" s="60">
        <f>SUMIF(Spelarstatistik!A$2:A179, L109, Spelarstatistik!B$2:B179)
</f>
        <v>0</v>
      </c>
      <c r="N109" s="60">
        <f>SUMIF(Spelarstatistik!A$2:A179, L109, Spelarstatistik!C$2:C179)
</f>
        <v>0</v>
      </c>
      <c r="O109" s="60">
        <f>SUMIF(Spelarstatistik!A$2:A179, L109, Spelarstatistik!D$2:D179)
</f>
        <v>0</v>
      </c>
      <c r="P109" s="60">
        <f>SUMIF(Spelarstatistik!A$2:A179, L109, Spelarstatistik!E$2:E179)
</f>
        <v>0</v>
      </c>
      <c r="Q109" s="60">
        <f>COUNTIF(Spelarstatistik!A$2:A179, L109)
</f>
        <v>0</v>
      </c>
      <c r="R109" s="60">
        <f>SUMIF(Matcher!AC$5:AC179, L109, Matcher!AH$5:AH179)
</f>
        <v>0</v>
      </c>
      <c r="S109" s="60" t="str">
        <f t="shared" si="4"/>
        <v/>
      </c>
    </row>
    <row r="110">
      <c r="A110" s="60"/>
      <c r="B110" s="61"/>
      <c r="C110" s="61"/>
      <c r="D110" s="61"/>
      <c r="E110" s="61"/>
      <c r="F110" s="61"/>
      <c r="G110" s="61"/>
      <c r="H110" s="61"/>
      <c r="I110" s="60"/>
      <c r="J110" s="62"/>
      <c r="K110" s="62"/>
      <c r="L110" s="60"/>
      <c r="M110" s="60">
        <f>SUMIF(Spelarstatistik!A$2:A179, L110, Spelarstatistik!B$2:B179)
</f>
        <v>0</v>
      </c>
      <c r="N110" s="60">
        <f>SUMIF(Spelarstatistik!A$2:A179, L110, Spelarstatistik!C$2:C179)
</f>
        <v>0</v>
      </c>
      <c r="O110" s="60">
        <f>SUMIF(Spelarstatistik!A$2:A179, L110, Spelarstatistik!D$2:D179)
</f>
        <v>0</v>
      </c>
      <c r="P110" s="60">
        <f>SUMIF(Spelarstatistik!A$2:A179, L110, Spelarstatistik!E$2:E179)
</f>
        <v>0</v>
      </c>
      <c r="Q110" s="60">
        <f>COUNTIF(Spelarstatistik!A$2:A179, L110)
</f>
        <v>0</v>
      </c>
      <c r="R110" s="60">
        <f>SUMIF(Matcher!AC$5:AC179, L110, Matcher!AH$5:AH179)
</f>
        <v>0</v>
      </c>
      <c r="S110" s="60" t="str">
        <f t="shared" si="4"/>
        <v/>
      </c>
    </row>
    <row r="111">
      <c r="A111" s="60"/>
      <c r="B111" s="61"/>
      <c r="C111" s="61"/>
      <c r="D111" s="61"/>
      <c r="E111" s="61"/>
      <c r="F111" s="61"/>
      <c r="G111" s="61"/>
      <c r="H111" s="61"/>
      <c r="I111" s="60"/>
      <c r="J111" s="62"/>
      <c r="K111" s="62"/>
      <c r="L111" s="60"/>
      <c r="M111" s="60">
        <f>SUMIF(Spelarstatistik!A$2:A179, L111, Spelarstatistik!B$2:B179)
</f>
        <v>0</v>
      </c>
      <c r="N111" s="60">
        <f>SUMIF(Spelarstatistik!A$2:A179, L111, Spelarstatistik!C$2:C179)
</f>
        <v>0</v>
      </c>
      <c r="O111" s="60">
        <f>SUMIF(Spelarstatistik!A$2:A179, L111, Spelarstatistik!D$2:D179)
</f>
        <v>0</v>
      </c>
      <c r="P111" s="60">
        <f>SUMIF(Spelarstatistik!A$2:A179, L111, Spelarstatistik!E$2:E179)
</f>
        <v>0</v>
      </c>
      <c r="Q111" s="60">
        <f>COUNTIF(Spelarstatistik!A$2:A179, L111)
</f>
        <v>0</v>
      </c>
      <c r="R111" s="60">
        <f>SUMIF(Matcher!AC$5:AC179, L111, Matcher!AH$5:AH179)
</f>
        <v>0</v>
      </c>
      <c r="S111" s="60" t="str">
        <f t="shared" si="4"/>
        <v/>
      </c>
    </row>
    <row r="112">
      <c r="A112" s="60"/>
      <c r="B112" s="61"/>
      <c r="C112" s="61"/>
      <c r="D112" s="61"/>
      <c r="E112" s="61"/>
      <c r="F112" s="61"/>
      <c r="G112" s="61"/>
      <c r="H112" s="61"/>
      <c r="I112" s="60"/>
      <c r="J112" s="62"/>
      <c r="K112" s="62"/>
      <c r="L112" s="60"/>
      <c r="M112" s="60">
        <f>SUMIF(Spelarstatistik!A$2:A179, L112, Spelarstatistik!B$2:B179)
</f>
        <v>0</v>
      </c>
      <c r="N112" s="60">
        <f>SUMIF(Spelarstatistik!A$2:A179, L112, Spelarstatistik!C$2:C179)
</f>
        <v>0</v>
      </c>
      <c r="O112" s="60">
        <f>SUMIF(Spelarstatistik!A$2:A179, L112, Spelarstatistik!D$2:D179)
</f>
        <v>0</v>
      </c>
      <c r="P112" s="60">
        <f>SUMIF(Spelarstatistik!A$2:A179, L112, Spelarstatistik!E$2:E179)
</f>
        <v>0</v>
      </c>
      <c r="Q112" s="60">
        <f>COUNTIF(Spelarstatistik!A$2:A179, L112)
</f>
        <v>0</v>
      </c>
      <c r="R112" s="60">
        <f>SUMIF(Matcher!AC$5:AC179, L112, Matcher!AH$5:AH179)
</f>
        <v>0</v>
      </c>
      <c r="S112" s="60" t="str">
        <f t="shared" si="4"/>
        <v/>
      </c>
    </row>
    <row r="113">
      <c r="A113" s="60"/>
      <c r="B113" s="61"/>
      <c r="C113" s="61"/>
      <c r="D113" s="61"/>
      <c r="E113" s="61"/>
      <c r="F113" s="61"/>
      <c r="G113" s="61"/>
      <c r="H113" s="61"/>
      <c r="I113" s="60"/>
      <c r="J113" s="62"/>
      <c r="K113" s="62"/>
      <c r="L113" s="60"/>
      <c r="M113" s="60">
        <f>SUMIF(Spelarstatistik!A$2:A179, L113, Spelarstatistik!B$2:B179)
</f>
        <v>0</v>
      </c>
      <c r="N113" s="60">
        <f>SUMIF(Spelarstatistik!A$2:A179, L113, Spelarstatistik!C$2:C179)
</f>
        <v>0</v>
      </c>
      <c r="O113" s="60">
        <f>SUMIF(Spelarstatistik!A$2:A179, L113, Spelarstatistik!D$2:D179)
</f>
        <v>0</v>
      </c>
      <c r="P113" s="60">
        <f>SUMIF(Spelarstatistik!A$2:A179, L113, Spelarstatistik!E$2:E179)
</f>
        <v>0</v>
      </c>
      <c r="Q113" s="60">
        <f>COUNTIF(Spelarstatistik!A$2:A179, L113)
</f>
        <v>0</v>
      </c>
      <c r="R113" s="60">
        <f>SUMIF(Matcher!AC$5:AC179, L113, Matcher!AH$5:AH179)
</f>
        <v>0</v>
      </c>
      <c r="S113" s="60" t="str">
        <f t="shared" si="4"/>
        <v/>
      </c>
    </row>
    <row r="114">
      <c r="A114" s="60"/>
      <c r="B114" s="61"/>
      <c r="C114" s="61"/>
      <c r="D114" s="61"/>
      <c r="E114" s="61"/>
      <c r="F114" s="61"/>
      <c r="G114" s="61"/>
      <c r="H114" s="61"/>
      <c r="I114" s="60"/>
      <c r="J114" s="62"/>
      <c r="K114" s="62"/>
      <c r="L114" s="60"/>
      <c r="M114" s="60">
        <f>SUMIF(Spelarstatistik!A$2:A179, L114, Spelarstatistik!B$2:B179)
</f>
        <v>0</v>
      </c>
      <c r="N114" s="60">
        <f>SUMIF(Spelarstatistik!A$2:A179, L114, Spelarstatistik!C$2:C179)
</f>
        <v>0</v>
      </c>
      <c r="O114" s="60">
        <f>SUMIF(Spelarstatistik!A$2:A179, L114, Spelarstatistik!D$2:D179)
</f>
        <v>0</v>
      </c>
      <c r="P114" s="60">
        <f>SUMIF(Spelarstatistik!A$2:A179, L114, Spelarstatistik!E$2:E179)
</f>
        <v>0</v>
      </c>
      <c r="Q114" s="60">
        <f>COUNTIF(Spelarstatistik!A$2:A179, L114)
</f>
        <v>0</v>
      </c>
      <c r="R114" s="60">
        <f>SUMIF(Matcher!AC$5:AC179, L114, Matcher!AH$5:AH179)
</f>
        <v>0</v>
      </c>
      <c r="S114" s="60" t="str">
        <f t="shared" si="4"/>
        <v/>
      </c>
    </row>
    <row r="115">
      <c r="A115" s="60"/>
      <c r="B115" s="61"/>
      <c r="C115" s="61"/>
      <c r="D115" s="61"/>
      <c r="E115" s="61"/>
      <c r="F115" s="61"/>
      <c r="G115" s="61"/>
      <c r="H115" s="61"/>
      <c r="I115" s="60"/>
      <c r="J115" s="62"/>
      <c r="K115" s="62"/>
      <c r="L115" s="60"/>
      <c r="M115" s="60">
        <f>SUMIF(Spelarstatistik!A$2:A179, L115, Spelarstatistik!B$2:B179)
</f>
        <v>0</v>
      </c>
      <c r="N115" s="60">
        <f>SUMIF(Spelarstatistik!A$2:A179, L115, Spelarstatistik!C$2:C179)
</f>
        <v>0</v>
      </c>
      <c r="O115" s="60">
        <f>SUMIF(Spelarstatistik!A$2:A179, L115, Spelarstatistik!D$2:D179)
</f>
        <v>0</v>
      </c>
      <c r="P115" s="60">
        <f>SUMIF(Spelarstatistik!A$2:A179, L115, Spelarstatistik!E$2:E179)
</f>
        <v>0</v>
      </c>
      <c r="Q115" s="60">
        <f>COUNTIF(Spelarstatistik!A$2:A179, L115)
</f>
        <v>0</v>
      </c>
      <c r="R115" s="60">
        <f>SUMIF(Matcher!AC$5:AC179, L115, Matcher!AH$5:AH179)
</f>
        <v>0</v>
      </c>
      <c r="S115" s="60" t="str">
        <f t="shared" si="4"/>
        <v/>
      </c>
    </row>
    <row r="116">
      <c r="A116" s="60"/>
      <c r="B116" s="61"/>
      <c r="C116" s="61"/>
      <c r="D116" s="61"/>
      <c r="E116" s="61"/>
      <c r="F116" s="61"/>
      <c r="G116" s="61"/>
      <c r="H116" s="61"/>
      <c r="I116" s="60"/>
      <c r="J116" s="62"/>
      <c r="K116" s="62"/>
      <c r="L116" s="60"/>
      <c r="M116" s="60">
        <f>SUMIF(Spelarstatistik!A$2:A179, L116, Spelarstatistik!B$2:B179)
</f>
        <v>0</v>
      </c>
      <c r="N116" s="60">
        <f>SUMIF(Spelarstatistik!A$2:A179, L116, Spelarstatistik!C$2:C179)
</f>
        <v>0</v>
      </c>
      <c r="O116" s="60">
        <f>SUMIF(Spelarstatistik!A$2:A179, L116, Spelarstatistik!D$2:D179)
</f>
        <v>0</v>
      </c>
      <c r="P116" s="60">
        <f>SUMIF(Spelarstatistik!A$2:A179, L116, Spelarstatistik!E$2:E179)
</f>
        <v>0</v>
      </c>
      <c r="Q116" s="60">
        <f>COUNTIF(Spelarstatistik!A$2:A179, L116)
</f>
        <v>0</v>
      </c>
      <c r="R116" s="60">
        <f>SUMIF(Matcher!AC$5:AC179, L116, Matcher!AH$5:AH179)
</f>
        <v>0</v>
      </c>
      <c r="S116" s="60" t="str">
        <f t="shared" si="4"/>
        <v/>
      </c>
    </row>
    <row r="117">
      <c r="A117" s="60"/>
      <c r="B117" s="61"/>
      <c r="C117" s="61"/>
      <c r="D117" s="61"/>
      <c r="E117" s="61"/>
      <c r="F117" s="61"/>
      <c r="G117" s="61"/>
      <c r="H117" s="61"/>
      <c r="I117" s="60"/>
      <c r="J117" s="62"/>
      <c r="K117" s="62"/>
      <c r="L117" s="60"/>
      <c r="M117" s="60">
        <f>SUMIF(Spelarstatistik!A$2:A179, L117, Spelarstatistik!B$2:B179)
</f>
        <v>0</v>
      </c>
      <c r="N117" s="60">
        <f>SUMIF(Spelarstatistik!A$2:A179, L117, Spelarstatistik!C$2:C179)
</f>
        <v>0</v>
      </c>
      <c r="O117" s="60">
        <f>SUMIF(Spelarstatistik!A$2:A179, L117, Spelarstatistik!D$2:D179)
</f>
        <v>0</v>
      </c>
      <c r="P117" s="60">
        <f>SUMIF(Spelarstatistik!A$2:A179, L117, Spelarstatistik!E$2:E179)
</f>
        <v>0</v>
      </c>
      <c r="Q117" s="60">
        <f>COUNTIF(Spelarstatistik!A$2:A179, L117)
</f>
        <v>0</v>
      </c>
      <c r="R117" s="60">
        <f>SUMIF(Matcher!AC$5:AC179, L117, Matcher!AH$5:AH179)
</f>
        <v>0</v>
      </c>
      <c r="S117" s="60" t="str">
        <f t="shared" si="4"/>
        <v/>
      </c>
    </row>
    <row r="118">
      <c r="A118" s="60"/>
      <c r="B118" s="61"/>
      <c r="C118" s="61"/>
      <c r="D118" s="61"/>
      <c r="E118" s="61"/>
      <c r="F118" s="61"/>
      <c r="G118" s="61"/>
      <c r="H118" s="61"/>
      <c r="I118" s="60"/>
      <c r="J118" s="62"/>
      <c r="K118" s="62"/>
      <c r="L118" s="60"/>
      <c r="M118" s="60">
        <f>SUMIF(Spelarstatistik!A$2:A179, L118, Spelarstatistik!B$2:B179)
</f>
        <v>0</v>
      </c>
      <c r="N118" s="60">
        <f>SUMIF(Spelarstatistik!A$2:A179, L118, Spelarstatistik!C$2:C179)
</f>
        <v>0</v>
      </c>
      <c r="O118" s="60">
        <f>SUMIF(Spelarstatistik!A$2:A179, L118, Spelarstatistik!D$2:D179)
</f>
        <v>0</v>
      </c>
      <c r="P118" s="60">
        <f>SUMIF(Spelarstatistik!A$2:A179, L118, Spelarstatistik!E$2:E179)
</f>
        <v>0</v>
      </c>
      <c r="Q118" s="60">
        <f>COUNTIF(Spelarstatistik!A$2:A179, L118)
</f>
        <v>0</v>
      </c>
      <c r="R118" s="60">
        <f>SUMIF(Matcher!AC$5:AC179, L118, Matcher!AH$5:AH179)
</f>
        <v>0</v>
      </c>
      <c r="S118" s="60" t="str">
        <f t="shared" si="4"/>
        <v/>
      </c>
    </row>
    <row r="119">
      <c r="A119" s="60"/>
      <c r="B119" s="61"/>
      <c r="C119" s="61"/>
      <c r="D119" s="61"/>
      <c r="E119" s="61"/>
      <c r="F119" s="61"/>
      <c r="G119" s="61"/>
      <c r="H119" s="61"/>
      <c r="I119" s="60"/>
      <c r="J119" s="62"/>
      <c r="K119" s="62"/>
      <c r="L119" s="60"/>
      <c r="M119" s="60">
        <f>SUMIF(Spelarstatistik!A$2:A179, L119, Spelarstatistik!B$2:B179)
</f>
        <v>0</v>
      </c>
      <c r="N119" s="60">
        <f>SUMIF(Spelarstatistik!A$2:A179, L119, Spelarstatistik!C$2:C179)
</f>
        <v>0</v>
      </c>
      <c r="O119" s="60">
        <f>SUMIF(Spelarstatistik!A$2:A179, L119, Spelarstatistik!D$2:D179)
</f>
        <v>0</v>
      </c>
      <c r="P119" s="60">
        <f>SUMIF(Spelarstatistik!A$2:A179, L119, Spelarstatistik!E$2:E179)
</f>
        <v>0</v>
      </c>
      <c r="Q119" s="60">
        <f>COUNTIF(Spelarstatistik!A$2:A179, L119)
</f>
        <v>0</v>
      </c>
      <c r="R119" s="60">
        <f>SUMIF(Matcher!AC$5:AC179, L119, Matcher!AH$5:AH179)
</f>
        <v>0</v>
      </c>
      <c r="S119" s="60" t="str">
        <f t="shared" si="4"/>
        <v/>
      </c>
    </row>
    <row r="120">
      <c r="A120" s="60"/>
      <c r="B120" s="61"/>
      <c r="C120" s="61"/>
      <c r="D120" s="61"/>
      <c r="E120" s="61"/>
      <c r="F120" s="61"/>
      <c r="G120" s="61"/>
      <c r="H120" s="61"/>
      <c r="I120" s="60"/>
      <c r="J120" s="62"/>
      <c r="K120" s="62"/>
      <c r="L120" s="60"/>
      <c r="M120" s="60">
        <f>SUMIF(Spelarstatistik!A$2:A179, L120, Spelarstatistik!B$2:B179)
</f>
        <v>0</v>
      </c>
      <c r="N120" s="60">
        <f>SUMIF(Spelarstatistik!A$2:A179, L120, Spelarstatistik!C$2:C179)
</f>
        <v>0</v>
      </c>
      <c r="O120" s="60">
        <f>SUMIF(Spelarstatistik!A$2:A179, L120, Spelarstatistik!D$2:D179)
</f>
        <v>0</v>
      </c>
      <c r="P120" s="60">
        <f>SUMIF(Spelarstatistik!A$2:A179, L120, Spelarstatistik!E$2:E179)
</f>
        <v>0</v>
      </c>
      <c r="Q120" s="60">
        <f>COUNTIF(Spelarstatistik!A$2:A179, L120)
</f>
        <v>0</v>
      </c>
      <c r="R120" s="60">
        <f>SUMIF(Matcher!AC$5:AC179, L120, Matcher!AH$5:AH179)
</f>
        <v>0</v>
      </c>
      <c r="S120" s="60" t="str">
        <f t="shared" si="4"/>
        <v/>
      </c>
    </row>
    <row r="121">
      <c r="A121" s="60"/>
      <c r="B121" s="61"/>
      <c r="C121" s="61"/>
      <c r="D121" s="61"/>
      <c r="E121" s="61"/>
      <c r="F121" s="61"/>
      <c r="G121" s="61"/>
      <c r="H121" s="61"/>
      <c r="I121" s="60"/>
      <c r="J121" s="62"/>
      <c r="K121" s="62"/>
      <c r="L121" s="60"/>
      <c r="M121" s="60">
        <f>SUMIF(Spelarstatistik!A$2:A179, L121, Spelarstatistik!B$2:B179)
</f>
        <v>0</v>
      </c>
      <c r="N121" s="60">
        <f>SUMIF(Spelarstatistik!A$2:A179, L121, Spelarstatistik!C$2:C179)
</f>
        <v>0</v>
      </c>
      <c r="O121" s="60">
        <f>SUMIF(Spelarstatistik!A$2:A179, L121, Spelarstatistik!D$2:D179)
</f>
        <v>0</v>
      </c>
      <c r="P121" s="60">
        <f>SUMIF(Spelarstatistik!A$2:A179, L121, Spelarstatistik!E$2:E179)
</f>
        <v>0</v>
      </c>
      <c r="Q121" s="60">
        <f>COUNTIF(Spelarstatistik!A$2:A179, L121)
</f>
        <v>0</v>
      </c>
      <c r="R121" s="60">
        <f>SUMIF(Matcher!AC$5:AC179, L121, Matcher!AH$5:AH179)
</f>
        <v>0</v>
      </c>
      <c r="S121" s="60" t="str">
        <f t="shared" si="4"/>
        <v/>
      </c>
    </row>
    <row r="122">
      <c r="A122" s="60"/>
      <c r="B122" s="61"/>
      <c r="C122" s="61"/>
      <c r="D122" s="61"/>
      <c r="E122" s="61"/>
      <c r="F122" s="61"/>
      <c r="G122" s="61"/>
      <c r="H122" s="61"/>
      <c r="I122" s="60"/>
      <c r="J122" s="62"/>
      <c r="K122" s="62"/>
      <c r="L122" s="60"/>
      <c r="M122" s="60">
        <f>SUMIF(Spelarstatistik!A$2:A179, L122, Spelarstatistik!B$2:B179)
</f>
        <v>0</v>
      </c>
      <c r="N122" s="60">
        <f>SUMIF(Spelarstatistik!A$2:A179, L122, Spelarstatistik!C$2:C179)
</f>
        <v>0</v>
      </c>
      <c r="O122" s="60">
        <f>SUMIF(Spelarstatistik!A$2:A179, L122, Spelarstatistik!D$2:D179)
</f>
        <v>0</v>
      </c>
      <c r="P122" s="60">
        <f>SUMIF(Spelarstatistik!A$2:A179, L122, Spelarstatistik!E$2:E179)
</f>
        <v>0</v>
      </c>
      <c r="Q122" s="60">
        <f>COUNTIF(Spelarstatistik!A$2:A179, L122)
</f>
        <v>0</v>
      </c>
      <c r="R122" s="60">
        <f>SUMIF(Matcher!AC$5:AC179, L122, Matcher!AH$5:AH179)
</f>
        <v>0</v>
      </c>
      <c r="S122" s="60" t="str">
        <f t="shared" si="4"/>
        <v/>
      </c>
    </row>
    <row r="123">
      <c r="A123" s="60"/>
      <c r="B123" s="61"/>
      <c r="C123" s="61"/>
      <c r="D123" s="61"/>
      <c r="E123" s="61"/>
      <c r="F123" s="61"/>
      <c r="G123" s="61"/>
      <c r="H123" s="61"/>
      <c r="I123" s="60"/>
      <c r="J123" s="62"/>
      <c r="K123" s="62"/>
      <c r="L123" s="60"/>
      <c r="M123" s="60">
        <f>SUMIF(Spelarstatistik!A$2:A179, L123, Spelarstatistik!B$2:B179)
</f>
        <v>0</v>
      </c>
      <c r="N123" s="60">
        <f>SUMIF(Spelarstatistik!A$2:A179, L123, Spelarstatistik!C$2:C179)
</f>
        <v>0</v>
      </c>
      <c r="O123" s="60">
        <f>SUMIF(Spelarstatistik!A$2:A179, L123, Spelarstatistik!D$2:D179)
</f>
        <v>0</v>
      </c>
      <c r="P123" s="60">
        <f>SUMIF(Spelarstatistik!A$2:A179, L123, Spelarstatistik!E$2:E179)
</f>
        <v>0</v>
      </c>
      <c r="Q123" s="60">
        <f>COUNTIF(Spelarstatistik!A$2:A179, L123)
</f>
        <v>0</v>
      </c>
      <c r="R123" s="60">
        <f>SUMIF(Matcher!AC$5:AC179, L123, Matcher!AH$5:AH179)
</f>
        <v>0</v>
      </c>
      <c r="S123" s="60" t="str">
        <f t="shared" si="4"/>
        <v/>
      </c>
    </row>
    <row r="124">
      <c r="A124" s="60"/>
      <c r="B124" s="61"/>
      <c r="C124" s="61"/>
      <c r="D124" s="61"/>
      <c r="E124" s="61"/>
      <c r="F124" s="61"/>
      <c r="G124" s="61"/>
      <c r="H124" s="61"/>
      <c r="I124" s="60"/>
      <c r="J124" s="62"/>
      <c r="K124" s="62"/>
      <c r="L124" s="60"/>
      <c r="M124" s="60">
        <f>SUMIF(Spelarstatistik!A$2:A179, L124, Spelarstatistik!B$2:B179)
</f>
        <v>0</v>
      </c>
      <c r="N124" s="60">
        <f>SUMIF(Spelarstatistik!A$2:A179, L124, Spelarstatistik!C$2:C179)
</f>
        <v>0</v>
      </c>
      <c r="O124" s="60">
        <f>SUMIF(Spelarstatistik!A$2:A179, L124, Spelarstatistik!D$2:D179)
</f>
        <v>0</v>
      </c>
      <c r="P124" s="60">
        <f>SUMIF(Spelarstatistik!A$2:A179, L124, Spelarstatistik!E$2:E179)
</f>
        <v>0</v>
      </c>
      <c r="Q124" s="60">
        <f>COUNTIF(Spelarstatistik!A$2:A179, L124)
</f>
        <v>0</v>
      </c>
      <c r="R124" s="60">
        <f>SUMIF(Matcher!AC$5:AC179, L124, Matcher!AH$5:AH179)
</f>
        <v>0</v>
      </c>
      <c r="S124" s="60" t="str">
        <f t="shared" si="4"/>
        <v/>
      </c>
    </row>
    <row r="125">
      <c r="A125" s="60"/>
      <c r="B125" s="61"/>
      <c r="C125" s="61"/>
      <c r="D125" s="61"/>
      <c r="E125" s="61"/>
      <c r="F125" s="61"/>
      <c r="G125" s="61"/>
      <c r="H125" s="61"/>
      <c r="I125" s="60"/>
      <c r="J125" s="62"/>
      <c r="K125" s="62"/>
      <c r="L125" s="60"/>
      <c r="M125" s="60">
        <f>SUMIF(Spelarstatistik!A$2:A179, L125, Spelarstatistik!B$2:B179)
</f>
        <v>0</v>
      </c>
      <c r="N125" s="60">
        <f>SUMIF(Spelarstatistik!A$2:A179, L125, Spelarstatistik!C$2:C179)
</f>
        <v>0</v>
      </c>
      <c r="O125" s="60">
        <f>SUMIF(Spelarstatistik!A$2:A179, L125, Spelarstatistik!D$2:D179)
</f>
        <v>0</v>
      </c>
      <c r="P125" s="60">
        <f>SUMIF(Spelarstatistik!A$2:A179, L125, Spelarstatistik!E$2:E179)
</f>
        <v>0</v>
      </c>
      <c r="Q125" s="60">
        <f>COUNTIF(Spelarstatistik!A$2:A179, L125)
</f>
        <v>0</v>
      </c>
      <c r="R125" s="60">
        <f>SUMIF(Matcher!AC$5:AC179, L125, Matcher!AH$5:AH179)
</f>
        <v>0</v>
      </c>
      <c r="S125" s="60" t="str">
        <f t="shared" si="4"/>
        <v/>
      </c>
    </row>
    <row r="126">
      <c r="A126" s="60"/>
      <c r="B126" s="61"/>
      <c r="C126" s="61"/>
      <c r="D126" s="61"/>
      <c r="E126" s="61"/>
      <c r="F126" s="61"/>
      <c r="G126" s="61"/>
      <c r="H126" s="61"/>
      <c r="I126" s="60"/>
      <c r="J126" s="62"/>
      <c r="K126" s="62"/>
      <c r="L126" s="60"/>
      <c r="M126" s="60">
        <f>SUMIF(Spelarstatistik!A$2:A179, L126, Spelarstatistik!B$2:B179)
</f>
        <v>0</v>
      </c>
      <c r="N126" s="60">
        <f>SUMIF(Spelarstatistik!A$2:A179, L126, Spelarstatistik!C$2:C179)
</f>
        <v>0</v>
      </c>
      <c r="O126" s="60">
        <f>SUMIF(Spelarstatistik!A$2:A179, L126, Spelarstatistik!D$2:D179)
</f>
        <v>0</v>
      </c>
      <c r="P126" s="60">
        <f>SUMIF(Spelarstatistik!A$2:A179, L126, Spelarstatistik!E$2:E179)
</f>
        <v>0</v>
      </c>
      <c r="Q126" s="60">
        <f>COUNTIF(Spelarstatistik!A$2:A179, L126)
</f>
        <v>0</v>
      </c>
      <c r="R126" s="60">
        <f>SUMIF(Matcher!AC$5:AC179, L126, Matcher!AH$5:AH179)
</f>
        <v>0</v>
      </c>
      <c r="S126" s="60" t="str">
        <f t="shared" si="4"/>
        <v/>
      </c>
    </row>
    <row r="127">
      <c r="A127" s="60"/>
      <c r="B127" s="61"/>
      <c r="C127" s="61"/>
      <c r="D127" s="61"/>
      <c r="E127" s="61"/>
      <c r="F127" s="61"/>
      <c r="G127" s="61"/>
      <c r="H127" s="61"/>
      <c r="I127" s="60"/>
      <c r="J127" s="62"/>
      <c r="K127" s="62"/>
      <c r="L127" s="60"/>
      <c r="M127" s="60">
        <f>SUMIF(Spelarstatistik!A$2:A179, L127, Spelarstatistik!B$2:B179)
</f>
        <v>0</v>
      </c>
      <c r="N127" s="60">
        <f>SUMIF(Spelarstatistik!A$2:A179, L127, Spelarstatistik!C$2:C179)
</f>
        <v>0</v>
      </c>
      <c r="O127" s="60">
        <f>SUMIF(Spelarstatistik!A$2:A179, L127, Spelarstatistik!D$2:D179)
</f>
        <v>0</v>
      </c>
      <c r="P127" s="60">
        <f>SUMIF(Spelarstatistik!A$2:A179, L127, Spelarstatistik!E$2:E179)
</f>
        <v>0</v>
      </c>
      <c r="Q127" s="60">
        <f>COUNTIF(Spelarstatistik!A$2:A179, L127)
</f>
        <v>0</v>
      </c>
      <c r="R127" s="60">
        <f>SUMIF(Matcher!AC$5:AC179, L127, Matcher!AH$5:AH179)
</f>
        <v>0</v>
      </c>
      <c r="S127" s="60" t="str">
        <f t="shared" si="4"/>
        <v/>
      </c>
    </row>
    <row r="128">
      <c r="A128" s="60"/>
      <c r="B128" s="61"/>
      <c r="C128" s="61"/>
      <c r="D128" s="61"/>
      <c r="E128" s="61"/>
      <c r="F128" s="61"/>
      <c r="G128" s="61"/>
      <c r="H128" s="61"/>
      <c r="I128" s="60"/>
      <c r="J128" s="62"/>
      <c r="K128" s="62"/>
      <c r="L128" s="60"/>
      <c r="M128" s="60">
        <f>SUMIF(Spelarstatistik!A$2:A179, L128, Spelarstatistik!B$2:B179)
</f>
        <v>0</v>
      </c>
      <c r="N128" s="60">
        <f>SUMIF(Spelarstatistik!A$2:A179, L128, Spelarstatistik!C$2:C179)
</f>
        <v>0</v>
      </c>
      <c r="O128" s="60">
        <f>SUMIF(Spelarstatistik!A$2:A179, L128, Spelarstatistik!D$2:D179)
</f>
        <v>0</v>
      </c>
      <c r="P128" s="60">
        <f>SUMIF(Spelarstatistik!A$2:A179, L128, Spelarstatistik!E$2:E179)
</f>
        <v>0</v>
      </c>
      <c r="Q128" s="60">
        <f>COUNTIF(Spelarstatistik!A$2:A179, L128)
</f>
        <v>0</v>
      </c>
      <c r="R128" s="60">
        <f>SUMIF(Matcher!AC$5:AC179, L128, Matcher!AH$5:AH179)
</f>
        <v>0</v>
      </c>
      <c r="S128" s="60" t="str">
        <f t="shared" si="4"/>
        <v/>
      </c>
    </row>
    <row r="129">
      <c r="A129" s="60"/>
      <c r="B129" s="61"/>
      <c r="C129" s="61"/>
      <c r="D129" s="61"/>
      <c r="E129" s="61"/>
      <c r="F129" s="61"/>
      <c r="G129" s="61"/>
      <c r="H129" s="61"/>
      <c r="I129" s="60"/>
      <c r="J129" s="62"/>
      <c r="K129" s="62"/>
      <c r="L129" s="60"/>
      <c r="M129" s="60">
        <f>SUMIF(Spelarstatistik!A$2:A179, L129, Spelarstatistik!B$2:B179)
</f>
        <v>0</v>
      </c>
      <c r="N129" s="60">
        <f>SUMIF(Spelarstatistik!A$2:A179, L129, Spelarstatistik!C$2:C179)
</f>
        <v>0</v>
      </c>
      <c r="O129" s="60">
        <f>SUMIF(Spelarstatistik!A$2:A179, L129, Spelarstatistik!D$2:D179)
</f>
        <v>0</v>
      </c>
      <c r="P129" s="60">
        <f>SUMIF(Spelarstatistik!A$2:A179, L129, Spelarstatistik!E$2:E179)
</f>
        <v>0</v>
      </c>
      <c r="Q129" s="60">
        <f>COUNTIF(Spelarstatistik!A$2:A179, L129)
</f>
        <v>0</v>
      </c>
      <c r="R129" s="60">
        <f>SUMIF(Matcher!AC$5:AC179, L129, Matcher!AH$5:AH179)
</f>
        <v>0</v>
      </c>
      <c r="S129" s="60" t="str">
        <f t="shared" si="4"/>
        <v/>
      </c>
    </row>
    <row r="130">
      <c r="A130" s="60"/>
      <c r="B130" s="61"/>
      <c r="C130" s="61"/>
      <c r="D130" s="61"/>
      <c r="E130" s="61"/>
      <c r="F130" s="61"/>
      <c r="G130" s="61"/>
      <c r="H130" s="61"/>
      <c r="I130" s="60"/>
      <c r="J130" s="62"/>
      <c r="K130" s="62"/>
      <c r="L130" s="60"/>
      <c r="M130" s="60">
        <f>SUMIF(Spelarstatistik!A$2:A179, L130, Spelarstatistik!B$2:B179)
</f>
        <v>0</v>
      </c>
      <c r="N130" s="60">
        <f>SUMIF(Spelarstatistik!A$2:A179, L130, Spelarstatistik!C$2:C179)
</f>
        <v>0</v>
      </c>
      <c r="O130" s="60">
        <f>SUMIF(Spelarstatistik!A$2:A179, L130, Spelarstatistik!D$2:D179)
</f>
        <v>0</v>
      </c>
      <c r="P130" s="60">
        <f>SUMIF(Spelarstatistik!A$2:A179, L130, Spelarstatistik!E$2:E179)
</f>
        <v>0</v>
      </c>
      <c r="Q130" s="60">
        <f>COUNTIF(Spelarstatistik!A$2:A179, L130)
</f>
        <v>0</v>
      </c>
      <c r="R130" s="60">
        <f>SUMIF(Matcher!AC$5:AC179, L130, Matcher!AH$5:AH179)
</f>
        <v>0</v>
      </c>
      <c r="S130" s="60" t="str">
        <f t="shared" si="4"/>
        <v/>
      </c>
    </row>
    <row r="131">
      <c r="A131" s="60"/>
      <c r="B131" s="61"/>
      <c r="C131" s="61"/>
      <c r="D131" s="61"/>
      <c r="E131" s="61"/>
      <c r="F131" s="61"/>
      <c r="G131" s="61"/>
      <c r="H131" s="61"/>
      <c r="I131" s="60"/>
      <c r="J131" s="62"/>
      <c r="K131" s="62"/>
      <c r="L131" s="60"/>
      <c r="M131" s="60">
        <f>SUMIF(Spelarstatistik!A$2:A179, L131, Spelarstatistik!B$2:B179)
</f>
        <v>0</v>
      </c>
      <c r="N131" s="60">
        <f>SUMIF(Spelarstatistik!A$2:A179, L131, Spelarstatistik!C$2:C179)
</f>
        <v>0</v>
      </c>
      <c r="O131" s="60">
        <f>SUMIF(Spelarstatistik!A$2:A179, L131, Spelarstatistik!D$2:D179)
</f>
        <v>0</v>
      </c>
      <c r="P131" s="60">
        <f>SUMIF(Spelarstatistik!A$2:A179, L131, Spelarstatistik!E$2:E179)
</f>
        <v>0</v>
      </c>
      <c r="Q131" s="60">
        <f>COUNTIF(Spelarstatistik!A$2:A179, L131)
</f>
        <v>0</v>
      </c>
      <c r="R131" s="60">
        <f>SUMIF(Matcher!AC$5:AC179, L131, Matcher!AH$5:AH179)
</f>
        <v>0</v>
      </c>
      <c r="S131" s="60" t="str">
        <f t="shared" si="4"/>
        <v/>
      </c>
    </row>
    <row r="132">
      <c r="A132" s="60"/>
      <c r="B132" s="61"/>
      <c r="C132" s="61"/>
      <c r="D132" s="61"/>
      <c r="E132" s="61"/>
      <c r="F132" s="61"/>
      <c r="G132" s="61"/>
      <c r="H132" s="61"/>
      <c r="I132" s="60"/>
      <c r="J132" s="62"/>
      <c r="K132" s="62"/>
      <c r="L132" s="60"/>
      <c r="M132" s="60">
        <f>SUMIF(Spelarstatistik!A$2:A179, L132, Spelarstatistik!B$2:B179)
</f>
        <v>0</v>
      </c>
      <c r="N132" s="60">
        <f>SUMIF(Spelarstatistik!A$2:A179, L132, Spelarstatistik!C$2:C179)
</f>
        <v>0</v>
      </c>
      <c r="O132" s="60">
        <f>SUMIF(Spelarstatistik!A$2:A179, L132, Spelarstatistik!D$2:D179)
</f>
        <v>0</v>
      </c>
      <c r="P132" s="60">
        <f>SUMIF(Spelarstatistik!A$2:A179, L132, Spelarstatistik!E$2:E179)
</f>
        <v>0</v>
      </c>
      <c r="Q132" s="60">
        <f>COUNTIF(Spelarstatistik!A$2:A179, L132)
</f>
        <v>0</v>
      </c>
      <c r="R132" s="60">
        <f>SUMIF(Matcher!AC$5:AC179, L132, Matcher!AH$5:AH179)
</f>
        <v>0</v>
      </c>
      <c r="S132" s="60" t="str">
        <f t="shared" si="4"/>
        <v/>
      </c>
    </row>
    <row r="133">
      <c r="A133" s="60"/>
      <c r="B133" s="61"/>
      <c r="C133" s="61"/>
      <c r="D133" s="61"/>
      <c r="E133" s="61"/>
      <c r="F133" s="61"/>
      <c r="G133" s="61"/>
      <c r="H133" s="61"/>
      <c r="I133" s="60"/>
      <c r="J133" s="62"/>
      <c r="K133" s="62"/>
      <c r="L133" s="60"/>
      <c r="M133" s="60">
        <f>SUMIF(Spelarstatistik!A$2:A179, L133, Spelarstatistik!B$2:B179)
</f>
        <v>0</v>
      </c>
      <c r="N133" s="60">
        <f>SUMIF(Spelarstatistik!A$2:A179, L133, Spelarstatistik!C$2:C179)
</f>
        <v>0</v>
      </c>
      <c r="O133" s="60">
        <f>SUMIF(Spelarstatistik!A$2:A179, L133, Spelarstatistik!D$2:D179)
</f>
        <v>0</v>
      </c>
      <c r="P133" s="60">
        <f>SUMIF(Spelarstatistik!A$2:A179, L133, Spelarstatistik!E$2:E179)
</f>
        <v>0</v>
      </c>
      <c r="Q133" s="60">
        <f>COUNTIF(Spelarstatistik!A$2:A179, L133)
</f>
        <v>0</v>
      </c>
      <c r="R133" s="60">
        <f>SUMIF(Matcher!AC$5:AC179, L133, Matcher!AH$5:AH179)
</f>
        <v>0</v>
      </c>
      <c r="S133" s="60" t="str">
        <f t="shared" si="4"/>
        <v/>
      </c>
    </row>
    <row r="134">
      <c r="A134" s="60"/>
      <c r="B134" s="61"/>
      <c r="C134" s="61"/>
      <c r="D134" s="61"/>
      <c r="E134" s="61"/>
      <c r="F134" s="61"/>
      <c r="G134" s="61"/>
      <c r="H134" s="61"/>
      <c r="I134" s="60"/>
      <c r="J134" s="62"/>
      <c r="K134" s="62"/>
      <c r="L134" s="60"/>
      <c r="M134" s="60">
        <f>SUMIF(Spelarstatistik!A$2:A179, L134, Spelarstatistik!B$2:B179)
</f>
        <v>0</v>
      </c>
      <c r="N134" s="60">
        <f>SUMIF(Spelarstatistik!A$2:A179, L134, Spelarstatistik!C$2:C179)
</f>
        <v>0</v>
      </c>
      <c r="O134" s="60">
        <f>SUMIF(Spelarstatistik!A$2:A179, L134, Spelarstatistik!D$2:D179)
</f>
        <v>0</v>
      </c>
      <c r="P134" s="60">
        <f>SUMIF(Spelarstatistik!A$2:A179, L134, Spelarstatistik!E$2:E179)
</f>
        <v>0</v>
      </c>
      <c r="Q134" s="60">
        <f>COUNTIF(Spelarstatistik!A$2:A179, L134)
</f>
        <v>0</v>
      </c>
      <c r="R134" s="60">
        <f>SUMIF(Matcher!AC$5:AC179, L134, Matcher!AH$5:AH179)
</f>
        <v>0</v>
      </c>
      <c r="S134" s="60" t="str">
        <f t="shared" si="4"/>
        <v/>
      </c>
    </row>
    <row r="135">
      <c r="A135" s="60"/>
      <c r="B135" s="61"/>
      <c r="C135" s="61"/>
      <c r="D135" s="61"/>
      <c r="E135" s="61"/>
      <c r="F135" s="61"/>
      <c r="G135" s="61"/>
      <c r="H135" s="61"/>
      <c r="I135" s="60"/>
      <c r="J135" s="62"/>
      <c r="K135" s="62"/>
      <c r="L135" s="60"/>
      <c r="M135" s="60">
        <f>SUMIF(Spelarstatistik!A$2:A179, L135, Spelarstatistik!B$2:B179)
</f>
        <v>0</v>
      </c>
      <c r="N135" s="60">
        <f>SUMIF(Spelarstatistik!A$2:A179, L135, Spelarstatistik!C$2:C179)
</f>
        <v>0</v>
      </c>
      <c r="O135" s="60">
        <f>SUMIF(Spelarstatistik!A$2:A179, L135, Spelarstatistik!D$2:D179)
</f>
        <v>0</v>
      </c>
      <c r="P135" s="60">
        <f>SUMIF(Spelarstatistik!A$2:A179, L135, Spelarstatistik!E$2:E179)
</f>
        <v>0</v>
      </c>
      <c r="Q135" s="60">
        <f>COUNTIF(Spelarstatistik!A$2:A179, L135)
</f>
        <v>0</v>
      </c>
      <c r="R135" s="60">
        <f>SUMIF(Matcher!AC$5:AC179, L135, Matcher!AH$5:AH179)
</f>
        <v>0</v>
      </c>
      <c r="S135" s="60" t="str">
        <f t="shared" si="4"/>
        <v/>
      </c>
    </row>
    <row r="136">
      <c r="A136" s="60"/>
      <c r="B136" s="61"/>
      <c r="C136" s="61"/>
      <c r="D136" s="61"/>
      <c r="E136" s="61"/>
      <c r="F136" s="61"/>
      <c r="G136" s="61"/>
      <c r="H136" s="61"/>
      <c r="I136" s="60"/>
      <c r="J136" s="62"/>
      <c r="K136" s="62"/>
      <c r="L136" s="60"/>
      <c r="M136" s="60">
        <f>SUMIF(Spelarstatistik!A$2:A179, L136, Spelarstatistik!B$2:B179)
</f>
        <v>0</v>
      </c>
      <c r="N136" s="60">
        <f>SUMIF(Spelarstatistik!A$2:A179, L136, Spelarstatistik!C$2:C179)
</f>
        <v>0</v>
      </c>
      <c r="O136" s="60">
        <f>SUMIF(Spelarstatistik!A$2:A179, L136, Spelarstatistik!D$2:D179)
</f>
        <v>0</v>
      </c>
      <c r="P136" s="60">
        <f>SUMIF(Spelarstatistik!A$2:A179, L136, Spelarstatistik!E$2:E179)
</f>
        <v>0</v>
      </c>
      <c r="Q136" s="60">
        <f>COUNTIF(Spelarstatistik!A$2:A179, L136)
</f>
        <v>0</v>
      </c>
      <c r="R136" s="60">
        <f>SUMIF(Matcher!AC$5:AC179, L136, Matcher!AH$5:AH179)
</f>
        <v>0</v>
      </c>
      <c r="S136" s="60" t="str">
        <f t="shared" si="4"/>
        <v/>
      </c>
    </row>
    <row r="137">
      <c r="A137" s="60"/>
      <c r="B137" s="61"/>
      <c r="C137" s="61"/>
      <c r="D137" s="61"/>
      <c r="E137" s="61"/>
      <c r="F137" s="61"/>
      <c r="G137" s="61"/>
      <c r="H137" s="61"/>
      <c r="I137" s="60"/>
      <c r="J137" s="62"/>
      <c r="K137" s="62"/>
      <c r="L137" s="60"/>
      <c r="M137" s="60">
        <f>SUMIF(Spelarstatistik!A$2:A179, L137, Spelarstatistik!B$2:B179)
</f>
        <v>0</v>
      </c>
      <c r="N137" s="60">
        <f>SUMIF(Spelarstatistik!A$2:A179, L137, Spelarstatistik!C$2:C179)
</f>
        <v>0</v>
      </c>
      <c r="O137" s="60">
        <f>SUMIF(Spelarstatistik!A$2:A179, L137, Spelarstatistik!D$2:D179)
</f>
        <v>0</v>
      </c>
      <c r="P137" s="60">
        <f>SUMIF(Spelarstatistik!A$2:A179, L137, Spelarstatistik!E$2:E179)
</f>
        <v>0</v>
      </c>
      <c r="Q137" s="60">
        <f>COUNTIF(Spelarstatistik!A$2:A179, L137)
</f>
        <v>0</v>
      </c>
      <c r="R137" s="60">
        <f>SUMIF(Matcher!AC$5:AC179, L137, Matcher!AH$5:AH179)
</f>
        <v>0</v>
      </c>
      <c r="S137" s="60" t="str">
        <f t="shared" si="4"/>
        <v/>
      </c>
    </row>
    <row r="138">
      <c r="A138" s="60"/>
      <c r="B138" s="61"/>
      <c r="C138" s="61"/>
      <c r="D138" s="61"/>
      <c r="E138" s="61"/>
      <c r="F138" s="61"/>
      <c r="G138" s="61"/>
      <c r="H138" s="61"/>
      <c r="I138" s="60"/>
      <c r="J138" s="62"/>
      <c r="K138" s="62"/>
      <c r="L138" s="60"/>
      <c r="M138" s="60">
        <f>SUMIF(Spelarstatistik!A$2:A179, L138, Spelarstatistik!B$2:B179)
</f>
        <v>0</v>
      </c>
      <c r="N138" s="60">
        <f>SUMIF(Spelarstatistik!A$2:A179, L138, Spelarstatistik!C$2:C179)
</f>
        <v>0</v>
      </c>
      <c r="O138" s="60">
        <f>SUMIF(Spelarstatistik!A$2:A179, L138, Spelarstatistik!D$2:D179)
</f>
        <v>0</v>
      </c>
      <c r="P138" s="60">
        <f>SUMIF(Spelarstatistik!A$2:A179, L138, Spelarstatistik!E$2:E179)
</f>
        <v>0</v>
      </c>
      <c r="Q138" s="60">
        <f>COUNTIF(Spelarstatistik!A$2:A179, L138)
</f>
        <v>0</v>
      </c>
      <c r="R138" s="60">
        <f>SUMIF(Matcher!AC$5:AC179, L138, Matcher!AH$5:AH179)
</f>
        <v>0</v>
      </c>
      <c r="S138" s="60" t="str">
        <f t="shared" si="4"/>
        <v/>
      </c>
    </row>
    <row r="139">
      <c r="A139" s="60"/>
      <c r="B139" s="61"/>
      <c r="C139" s="61"/>
      <c r="D139" s="61"/>
      <c r="E139" s="61"/>
      <c r="F139" s="61"/>
      <c r="G139" s="61"/>
      <c r="H139" s="61"/>
      <c r="I139" s="60"/>
      <c r="J139" s="62"/>
      <c r="K139" s="62"/>
      <c r="L139" s="60"/>
      <c r="M139" s="60">
        <f>SUMIF(Spelarstatistik!A$2:A179, L139, Spelarstatistik!B$2:B179)
</f>
        <v>0</v>
      </c>
      <c r="N139" s="60">
        <f>SUMIF(Spelarstatistik!A$2:A179, L139, Spelarstatistik!C$2:C179)
</f>
        <v>0</v>
      </c>
      <c r="O139" s="60">
        <f>SUMIF(Spelarstatistik!A$2:A179, L139, Spelarstatistik!D$2:D179)
</f>
        <v>0</v>
      </c>
      <c r="P139" s="60">
        <f>SUMIF(Spelarstatistik!A$2:A179, L139, Spelarstatistik!E$2:E179)
</f>
        <v>0</v>
      </c>
      <c r="Q139" s="60">
        <f>COUNTIF(Spelarstatistik!A$2:A179, L139)
</f>
        <v>0</v>
      </c>
      <c r="R139" s="60">
        <f>SUMIF(Matcher!AC$5:AC179, L139, Matcher!AH$5:AH179)
</f>
        <v>0</v>
      </c>
      <c r="S139" s="60" t="str">
        <f t="shared" si="4"/>
        <v/>
      </c>
    </row>
    <row r="140">
      <c r="A140" s="60"/>
      <c r="B140" s="61"/>
      <c r="C140" s="61"/>
      <c r="D140" s="61"/>
      <c r="E140" s="61"/>
      <c r="F140" s="61"/>
      <c r="G140" s="61"/>
      <c r="H140" s="61"/>
      <c r="I140" s="60"/>
      <c r="J140" s="62"/>
      <c r="K140" s="62"/>
      <c r="L140" s="60"/>
      <c r="M140" s="60">
        <f>SUMIF(Spelarstatistik!A$2:A179, L140, Spelarstatistik!B$2:B179)
</f>
        <v>0</v>
      </c>
      <c r="N140" s="60">
        <f>SUMIF(Spelarstatistik!A$2:A179, L140, Spelarstatistik!C$2:C179)
</f>
        <v>0</v>
      </c>
      <c r="O140" s="60">
        <f>SUMIF(Spelarstatistik!A$2:A179, L140, Spelarstatistik!D$2:D179)
</f>
        <v>0</v>
      </c>
      <c r="P140" s="60">
        <f>SUMIF(Spelarstatistik!A$2:A179, L140, Spelarstatistik!E$2:E179)
</f>
        <v>0</v>
      </c>
      <c r="Q140" s="60">
        <f>COUNTIF(Spelarstatistik!A$2:A179, L140)
</f>
        <v>0</v>
      </c>
      <c r="R140" s="60">
        <f>SUMIF(Matcher!AC$5:AC179, L140, Matcher!AH$5:AH179)
</f>
        <v>0</v>
      </c>
      <c r="S140" s="60" t="str">
        <f t="shared" si="4"/>
        <v/>
      </c>
    </row>
    <row r="141">
      <c r="A141" s="60"/>
      <c r="B141" s="61"/>
      <c r="C141" s="61"/>
      <c r="D141" s="61"/>
      <c r="E141" s="61"/>
      <c r="F141" s="61"/>
      <c r="G141" s="61"/>
      <c r="H141" s="61"/>
      <c r="I141" s="60"/>
      <c r="J141" s="62"/>
      <c r="K141" s="62"/>
      <c r="L141" s="60"/>
      <c r="M141" s="60">
        <f>SUMIF(Spelarstatistik!A$2:A179, L141, Spelarstatistik!B$2:B179)
</f>
        <v>0</v>
      </c>
      <c r="N141" s="60">
        <f>SUMIF(Spelarstatistik!A$2:A179, L141, Spelarstatistik!C$2:C179)
</f>
        <v>0</v>
      </c>
      <c r="O141" s="60">
        <f>SUMIF(Spelarstatistik!A$2:A179, L141, Spelarstatistik!D$2:D179)
</f>
        <v>0</v>
      </c>
      <c r="P141" s="60">
        <f>SUMIF(Spelarstatistik!A$2:A179, L141, Spelarstatistik!E$2:E179)
</f>
        <v>0</v>
      </c>
      <c r="Q141" s="60">
        <f>COUNTIF(Spelarstatistik!A$2:A179, L141)
</f>
        <v>0</v>
      </c>
      <c r="R141" s="60">
        <f>SUMIF(Matcher!AC$5:AC179, L141, Matcher!AH$5:AH179)
</f>
        <v>0</v>
      </c>
      <c r="S141" s="60" t="str">
        <f t="shared" si="4"/>
        <v/>
      </c>
    </row>
    <row r="142">
      <c r="A142" s="60"/>
      <c r="B142" s="61"/>
      <c r="C142" s="61"/>
      <c r="D142" s="61"/>
      <c r="E142" s="61"/>
      <c r="F142" s="61"/>
      <c r="G142" s="61"/>
      <c r="H142" s="61"/>
      <c r="I142" s="60"/>
      <c r="J142" s="62"/>
      <c r="K142" s="62"/>
      <c r="L142" s="60"/>
      <c r="M142" s="60">
        <f>SUMIF(Spelarstatistik!A$2:A179, L142, Spelarstatistik!B$2:B179)
</f>
        <v>0</v>
      </c>
      <c r="N142" s="60">
        <f>SUMIF(Spelarstatistik!A$2:A179, L142, Spelarstatistik!C$2:C179)
</f>
        <v>0</v>
      </c>
      <c r="O142" s="60">
        <f>SUMIF(Spelarstatistik!A$2:A179, L142, Spelarstatistik!D$2:D179)
</f>
        <v>0</v>
      </c>
      <c r="P142" s="60">
        <f>SUMIF(Spelarstatistik!A$2:A179, L142, Spelarstatistik!E$2:E179)
</f>
        <v>0</v>
      </c>
      <c r="Q142" s="60">
        <f>COUNTIF(Spelarstatistik!A$2:A179, L142)
</f>
        <v>0</v>
      </c>
      <c r="R142" s="60">
        <f>SUMIF(Matcher!AC$5:AC179, L142, Matcher!AH$5:AH179)
</f>
        <v>0</v>
      </c>
      <c r="S142" s="60" t="str">
        <f t="shared" si="4"/>
        <v/>
      </c>
    </row>
    <row r="143">
      <c r="A143" s="60"/>
      <c r="B143" s="61"/>
      <c r="C143" s="61"/>
      <c r="D143" s="61"/>
      <c r="E143" s="61"/>
      <c r="F143" s="61"/>
      <c r="G143" s="61"/>
      <c r="H143" s="61"/>
      <c r="I143" s="60"/>
      <c r="J143" s="62"/>
      <c r="K143" s="62"/>
      <c r="L143" s="60"/>
      <c r="M143" s="60">
        <f>SUMIF(Spelarstatistik!A$2:A179, L143, Spelarstatistik!B$2:B179)
</f>
        <v>0</v>
      </c>
      <c r="N143" s="60">
        <f>SUMIF(Spelarstatistik!A$2:A179, L143, Spelarstatistik!C$2:C179)
</f>
        <v>0</v>
      </c>
      <c r="O143" s="60">
        <f>SUMIF(Spelarstatistik!A$2:A179, L143, Spelarstatistik!D$2:D179)
</f>
        <v>0</v>
      </c>
      <c r="P143" s="60">
        <f>SUMIF(Spelarstatistik!A$2:A179, L143, Spelarstatistik!E$2:E179)
</f>
        <v>0</v>
      </c>
      <c r="Q143" s="60">
        <f>COUNTIF(Spelarstatistik!A$2:A179, L143)
</f>
        <v>0</v>
      </c>
      <c r="R143" s="60">
        <f>SUMIF(Matcher!AC$5:AC179, L143, Matcher!AH$5:AH179)
</f>
        <v>0</v>
      </c>
      <c r="S143" s="60" t="str">
        <f t="shared" si="4"/>
        <v/>
      </c>
    </row>
    <row r="144">
      <c r="A144" s="60"/>
      <c r="B144" s="61"/>
      <c r="C144" s="61"/>
      <c r="D144" s="61"/>
      <c r="E144" s="61"/>
      <c r="F144" s="61"/>
      <c r="G144" s="61"/>
      <c r="H144" s="61"/>
      <c r="I144" s="60"/>
      <c r="J144" s="62"/>
      <c r="K144" s="62"/>
      <c r="L144" s="60"/>
      <c r="M144" s="60">
        <f>SUMIF(Spelarstatistik!A$2:A179, L144, Spelarstatistik!B$2:B179)
</f>
        <v>0</v>
      </c>
      <c r="N144" s="60">
        <f>SUMIF(Spelarstatistik!A$2:A179, L144, Spelarstatistik!C$2:C179)
</f>
        <v>0</v>
      </c>
      <c r="O144" s="60">
        <f>SUMIF(Spelarstatistik!A$2:A179, L144, Spelarstatistik!D$2:D179)
</f>
        <v>0</v>
      </c>
      <c r="P144" s="60">
        <f>SUMIF(Spelarstatistik!A$2:A179, L144, Spelarstatistik!E$2:E179)
</f>
        <v>0</v>
      </c>
      <c r="Q144" s="60">
        <f>COUNTIF(Spelarstatistik!A$2:A179, L144)
</f>
        <v>0</v>
      </c>
      <c r="R144" s="60">
        <f>SUMIF(Matcher!AC$5:AC179, L144, Matcher!AH$5:AH179)
</f>
        <v>0</v>
      </c>
      <c r="S144" s="60" t="str">
        <f t="shared" si="4"/>
        <v/>
      </c>
    </row>
    <row r="145">
      <c r="A145" s="60"/>
      <c r="B145" s="61"/>
      <c r="C145" s="61"/>
      <c r="D145" s="61"/>
      <c r="E145" s="61"/>
      <c r="F145" s="61"/>
      <c r="G145" s="61"/>
      <c r="H145" s="61"/>
      <c r="I145" s="60"/>
      <c r="J145" s="62"/>
      <c r="K145" s="62"/>
      <c r="L145" s="60"/>
      <c r="M145" s="60">
        <f>SUMIF(Spelarstatistik!A$2:A179, L145, Spelarstatistik!B$2:B179)
</f>
        <v>0</v>
      </c>
      <c r="N145" s="60">
        <f>SUMIF(Spelarstatistik!A$2:A179, L145, Spelarstatistik!C$2:C179)
</f>
        <v>0</v>
      </c>
      <c r="O145" s="60">
        <f>SUMIF(Spelarstatistik!A$2:A179, L145, Spelarstatistik!D$2:D179)
</f>
        <v>0</v>
      </c>
      <c r="P145" s="60">
        <f>SUMIF(Spelarstatistik!A$2:A179, L145, Spelarstatistik!E$2:E179)
</f>
        <v>0</v>
      </c>
      <c r="Q145" s="60">
        <f>COUNTIF(Spelarstatistik!A$2:A179, L145)
</f>
        <v>0</v>
      </c>
      <c r="R145" s="60">
        <f>SUMIF(Matcher!AC$5:AC179, L145, Matcher!AH$5:AH179)
</f>
        <v>0</v>
      </c>
      <c r="S145" s="60" t="str">
        <f t="shared" si="4"/>
        <v/>
      </c>
    </row>
    <row r="146">
      <c r="A146" s="60"/>
      <c r="B146" s="61"/>
      <c r="C146" s="61"/>
      <c r="D146" s="61"/>
      <c r="E146" s="61"/>
      <c r="F146" s="61"/>
      <c r="G146" s="61"/>
      <c r="H146" s="61"/>
      <c r="I146" s="60"/>
      <c r="J146" s="62"/>
      <c r="K146" s="62"/>
      <c r="L146" s="60"/>
      <c r="M146" s="60">
        <f>SUMIF(Spelarstatistik!A$2:A179, L146, Spelarstatistik!B$2:B179)
</f>
        <v>0</v>
      </c>
      <c r="N146" s="60">
        <f>SUMIF(Spelarstatistik!A$2:A179, L146, Spelarstatistik!C$2:C179)
</f>
        <v>0</v>
      </c>
      <c r="O146" s="60">
        <f>SUMIF(Spelarstatistik!A$2:A179, L146, Spelarstatistik!D$2:D179)
</f>
        <v>0</v>
      </c>
      <c r="P146" s="60">
        <f>SUMIF(Spelarstatistik!A$2:A179, L146, Spelarstatistik!E$2:E179)
</f>
        <v>0</v>
      </c>
      <c r="Q146" s="60">
        <f>COUNTIF(Spelarstatistik!A$2:A179, L146)
</f>
        <v>0</v>
      </c>
      <c r="R146" s="60">
        <f>SUMIF(Matcher!AC$5:AC179, L146, Matcher!AH$5:AH179)
</f>
        <v>0</v>
      </c>
      <c r="S146" s="60" t="str">
        <f t="shared" si="4"/>
        <v/>
      </c>
    </row>
    <row r="147">
      <c r="A147" s="60"/>
      <c r="B147" s="61"/>
      <c r="C147" s="61"/>
      <c r="D147" s="61"/>
      <c r="E147" s="61"/>
      <c r="F147" s="61"/>
      <c r="G147" s="61"/>
      <c r="H147" s="61"/>
      <c r="I147" s="60"/>
      <c r="J147" s="62"/>
      <c r="K147" s="62"/>
      <c r="L147" s="60"/>
      <c r="M147" s="60">
        <f>SUMIF(Spelarstatistik!A$2:A179, L147, Spelarstatistik!B$2:B179)
</f>
        <v>0</v>
      </c>
      <c r="N147" s="60">
        <f>SUMIF(Spelarstatistik!A$2:A179, L147, Spelarstatistik!C$2:C179)
</f>
        <v>0</v>
      </c>
      <c r="O147" s="60">
        <f>SUMIF(Spelarstatistik!A$2:A179, L147, Spelarstatistik!D$2:D179)
</f>
        <v>0</v>
      </c>
      <c r="P147" s="60">
        <f>SUMIF(Spelarstatistik!A$2:A179, L147, Spelarstatistik!E$2:E179)
</f>
        <v>0</v>
      </c>
      <c r="Q147" s="60">
        <f>COUNTIF(Spelarstatistik!A$2:A179, L147)
</f>
        <v>0</v>
      </c>
      <c r="R147" s="60">
        <f>SUMIF(Matcher!AC$5:AC179, L147, Matcher!AH$5:AH179)
</f>
        <v>0</v>
      </c>
      <c r="S147" s="60" t="str">
        <f t="shared" si="4"/>
        <v/>
      </c>
    </row>
    <row r="148">
      <c r="A148" s="60"/>
      <c r="B148" s="61"/>
      <c r="C148" s="61"/>
      <c r="D148" s="61"/>
      <c r="E148" s="61"/>
      <c r="F148" s="61"/>
      <c r="G148" s="61"/>
      <c r="H148" s="61"/>
      <c r="I148" s="60"/>
      <c r="J148" s="62"/>
      <c r="K148" s="62"/>
      <c r="L148" s="60"/>
      <c r="M148" s="60">
        <f>SUMIF(Spelarstatistik!A$2:A179, L148, Spelarstatistik!B$2:B179)
</f>
        <v>0</v>
      </c>
      <c r="N148" s="60">
        <f>SUMIF(Spelarstatistik!A$2:A179, L148, Spelarstatistik!C$2:C179)
</f>
        <v>0</v>
      </c>
      <c r="O148" s="60">
        <f>SUMIF(Spelarstatistik!A$2:A179, L148, Spelarstatistik!D$2:D179)
</f>
        <v>0</v>
      </c>
      <c r="P148" s="60">
        <f>SUMIF(Spelarstatistik!A$2:A179, L148, Spelarstatistik!E$2:E179)
</f>
        <v>0</v>
      </c>
      <c r="Q148" s="60">
        <f>COUNTIF(Spelarstatistik!A$2:A179, L148)
</f>
        <v>0</v>
      </c>
      <c r="R148" s="60">
        <f>SUMIF(Matcher!AC$5:AC179, L148, Matcher!AH$5:AH179)
</f>
        <v>0</v>
      </c>
      <c r="S148" s="60" t="str">
        <f t="shared" si="4"/>
        <v/>
      </c>
    </row>
    <row r="149">
      <c r="A149" s="60"/>
      <c r="B149" s="61"/>
      <c r="C149" s="61"/>
      <c r="D149" s="61"/>
      <c r="E149" s="61"/>
      <c r="F149" s="61"/>
      <c r="G149" s="61"/>
      <c r="H149" s="61"/>
      <c r="I149" s="60"/>
      <c r="J149" s="62"/>
      <c r="K149" s="62"/>
      <c r="L149" s="60"/>
      <c r="M149" s="60">
        <f>SUMIF(Spelarstatistik!A$2:A179, L149, Spelarstatistik!B$2:B179)
</f>
        <v>0</v>
      </c>
      <c r="N149" s="60">
        <f>SUMIF(Spelarstatistik!A$2:A179, L149, Spelarstatistik!C$2:C179)
</f>
        <v>0</v>
      </c>
      <c r="O149" s="60">
        <f>SUMIF(Spelarstatistik!A$2:A179, L149, Spelarstatistik!D$2:D179)
</f>
        <v>0</v>
      </c>
      <c r="P149" s="60">
        <f>SUMIF(Spelarstatistik!A$2:A179, L149, Spelarstatistik!E$2:E179)
</f>
        <v>0</v>
      </c>
      <c r="Q149" s="60">
        <f>COUNTIF(Spelarstatistik!A$2:A179, L149)
</f>
        <v>0</v>
      </c>
      <c r="R149" s="60">
        <f>SUMIF(Matcher!AC$5:AC179, L149, Matcher!AH$5:AH179)
</f>
        <v>0</v>
      </c>
      <c r="S149" s="60" t="str">
        <f t="shared" si="4"/>
        <v/>
      </c>
    </row>
    <row r="150">
      <c r="A150" s="60"/>
      <c r="B150" s="61"/>
      <c r="C150" s="61"/>
      <c r="D150" s="61"/>
      <c r="E150" s="61"/>
      <c r="F150" s="61"/>
      <c r="G150" s="61"/>
      <c r="H150" s="61"/>
      <c r="I150" s="60"/>
      <c r="J150" s="62"/>
      <c r="K150" s="62"/>
      <c r="L150" s="60"/>
      <c r="M150" s="60">
        <f>SUMIF(Spelarstatistik!A$2:A179, L150, Spelarstatistik!B$2:B179)
</f>
        <v>0</v>
      </c>
      <c r="N150" s="60">
        <f>SUMIF(Spelarstatistik!A$2:A179, L150, Spelarstatistik!C$2:C179)
</f>
        <v>0</v>
      </c>
      <c r="O150" s="60">
        <f>SUMIF(Spelarstatistik!A$2:A179, L150, Spelarstatistik!D$2:D179)
</f>
        <v>0</v>
      </c>
      <c r="P150" s="60">
        <f>SUMIF(Spelarstatistik!A$2:A179, L150, Spelarstatistik!E$2:E179)
</f>
        <v>0</v>
      </c>
      <c r="Q150" s="60">
        <f>COUNTIF(Spelarstatistik!A$2:A179, L150)
</f>
        <v>0</v>
      </c>
      <c r="R150" s="60">
        <f>SUMIF(Matcher!AC$5:AC179, L150, Matcher!AH$5:AH179)
</f>
        <v>0</v>
      </c>
      <c r="S150" s="60" t="str">
        <f t="shared" si="4"/>
        <v/>
      </c>
    </row>
    <row r="151">
      <c r="A151" s="60"/>
      <c r="B151" s="61"/>
      <c r="C151" s="61"/>
      <c r="D151" s="61"/>
      <c r="E151" s="61"/>
      <c r="F151" s="61"/>
      <c r="G151" s="61"/>
      <c r="H151" s="61"/>
      <c r="I151" s="60"/>
      <c r="J151" s="62"/>
      <c r="K151" s="62"/>
      <c r="L151" s="60"/>
      <c r="M151" s="60">
        <f>SUMIF(Spelarstatistik!A$2:A179, L151, Spelarstatistik!B$2:B179)
</f>
        <v>0</v>
      </c>
      <c r="N151" s="60">
        <f>SUMIF(Spelarstatistik!A$2:A179, L151, Spelarstatistik!C$2:C179)
</f>
        <v>0</v>
      </c>
      <c r="O151" s="60">
        <f>SUMIF(Spelarstatistik!A$2:A179, L151, Spelarstatistik!D$2:D179)
</f>
        <v>0</v>
      </c>
      <c r="P151" s="60">
        <f>SUMIF(Spelarstatistik!A$2:A179, L151, Spelarstatistik!E$2:E179)
</f>
        <v>0</v>
      </c>
      <c r="Q151" s="60">
        <f>COUNTIF(Spelarstatistik!A$2:A179, L151)
</f>
        <v>0</v>
      </c>
      <c r="R151" s="60">
        <f>SUMIF(Matcher!AC$5:AC179, L151, Matcher!AH$5:AH179)
</f>
        <v>0</v>
      </c>
      <c r="S151" s="60" t="str">
        <f t="shared" si="4"/>
        <v/>
      </c>
    </row>
    <row r="152">
      <c r="A152" s="60"/>
      <c r="B152" s="61"/>
      <c r="C152" s="61"/>
      <c r="D152" s="61"/>
      <c r="E152" s="61"/>
      <c r="F152" s="61"/>
      <c r="G152" s="61"/>
      <c r="H152" s="61"/>
      <c r="I152" s="60"/>
      <c r="J152" s="62"/>
      <c r="K152" s="62"/>
      <c r="L152" s="60"/>
      <c r="M152" s="60">
        <f>SUMIF(Spelarstatistik!A$2:A179, L152, Spelarstatistik!B$2:B179)
</f>
        <v>0</v>
      </c>
      <c r="N152" s="60">
        <f>SUMIF(Spelarstatistik!A$2:A179, L152, Spelarstatistik!C$2:C179)
</f>
        <v>0</v>
      </c>
      <c r="O152" s="60">
        <f>SUMIF(Spelarstatistik!A$2:A179, L152, Spelarstatistik!D$2:D179)
</f>
        <v>0</v>
      </c>
      <c r="P152" s="60">
        <f>SUMIF(Spelarstatistik!A$2:A179, L152, Spelarstatistik!E$2:E179)
</f>
        <v>0</v>
      </c>
      <c r="Q152" s="60">
        <f>COUNTIF(Spelarstatistik!A$2:A179, L152)
</f>
        <v>0</v>
      </c>
      <c r="R152" s="60">
        <f>SUMIF(Matcher!AC$5:AC179, L152, Matcher!AH$5:AH179)
</f>
        <v>0</v>
      </c>
      <c r="S152" s="60" t="str">
        <f t="shared" si="4"/>
        <v/>
      </c>
    </row>
    <row r="153">
      <c r="A153" s="60"/>
      <c r="B153" s="61"/>
      <c r="C153" s="61"/>
      <c r="D153" s="61"/>
      <c r="E153" s="61"/>
      <c r="F153" s="61"/>
      <c r="G153" s="61"/>
      <c r="H153" s="61"/>
      <c r="I153" s="60"/>
      <c r="J153" s="62"/>
      <c r="K153" s="62"/>
      <c r="L153" s="60"/>
      <c r="M153" s="60">
        <f>SUMIF(Spelarstatistik!A$2:A179, L153, Spelarstatistik!B$2:B179)
</f>
        <v>0</v>
      </c>
      <c r="N153" s="60">
        <f>SUMIF(Spelarstatistik!A$2:A179, L153, Spelarstatistik!C$2:C179)
</f>
        <v>0</v>
      </c>
      <c r="O153" s="60">
        <f>SUMIF(Spelarstatistik!A$2:A179, L153, Spelarstatistik!D$2:D179)
</f>
        <v>0</v>
      </c>
      <c r="P153" s="60">
        <f>SUMIF(Spelarstatistik!A$2:A179, L153, Spelarstatistik!E$2:E179)
</f>
        <v>0</v>
      </c>
      <c r="Q153" s="60">
        <f>COUNTIF(Spelarstatistik!A$2:A179, L153)
</f>
        <v>0</v>
      </c>
      <c r="R153" s="60">
        <f>SUMIF(Matcher!AC$5:AC179, L153, Matcher!AH$5:AH179)
</f>
        <v>0</v>
      </c>
      <c r="S153" s="60" t="str">
        <f t="shared" si="4"/>
        <v/>
      </c>
    </row>
    <row r="154">
      <c r="A154" s="60"/>
      <c r="B154" s="61"/>
      <c r="C154" s="61"/>
      <c r="D154" s="61"/>
      <c r="E154" s="61"/>
      <c r="F154" s="61"/>
      <c r="G154" s="61"/>
      <c r="H154" s="61"/>
      <c r="I154" s="60"/>
      <c r="J154" s="62"/>
      <c r="K154" s="62"/>
      <c r="L154" s="60"/>
      <c r="M154" s="60">
        <f>SUMIF(Spelarstatistik!A$2:A179, L154, Spelarstatistik!B$2:B179)
</f>
        <v>0</v>
      </c>
      <c r="N154" s="60">
        <f>SUMIF(Spelarstatistik!A$2:A179, L154, Spelarstatistik!C$2:C179)
</f>
        <v>0</v>
      </c>
      <c r="O154" s="60">
        <f>SUMIF(Spelarstatistik!A$2:A179, L154, Spelarstatistik!D$2:D179)
</f>
        <v>0</v>
      </c>
      <c r="P154" s="60">
        <f>SUMIF(Spelarstatistik!A$2:A179, L154, Spelarstatistik!E$2:E179)
</f>
        <v>0</v>
      </c>
      <c r="Q154" s="60">
        <f>COUNTIF(Spelarstatistik!A$2:A179, L154)
</f>
        <v>0</v>
      </c>
      <c r="R154" s="60">
        <f>SUMIF(Matcher!AC$5:AC179, L154, Matcher!AH$5:AH179)
</f>
        <v>0</v>
      </c>
      <c r="S154" s="60" t="str">
        <f t="shared" si="4"/>
        <v/>
      </c>
    </row>
    <row r="155">
      <c r="A155" s="60"/>
      <c r="B155" s="61"/>
      <c r="C155" s="61"/>
      <c r="D155" s="61"/>
      <c r="E155" s="61"/>
      <c r="F155" s="61"/>
      <c r="G155" s="61"/>
      <c r="H155" s="61"/>
      <c r="I155" s="60"/>
      <c r="J155" s="62"/>
      <c r="K155" s="62"/>
      <c r="L155" s="60"/>
      <c r="M155" s="60">
        <f>SUMIF(Spelarstatistik!A$2:A179, L155, Spelarstatistik!B$2:B179)
</f>
        <v>0</v>
      </c>
      <c r="N155" s="60">
        <f>SUMIF(Spelarstatistik!A$2:A179, L155, Spelarstatistik!C$2:C179)
</f>
        <v>0</v>
      </c>
      <c r="O155" s="60">
        <f>SUMIF(Spelarstatistik!A$2:A179, L155, Spelarstatistik!D$2:D179)
</f>
        <v>0</v>
      </c>
      <c r="P155" s="60">
        <f>SUMIF(Spelarstatistik!A$2:A179, L155, Spelarstatistik!E$2:E179)
</f>
        <v>0</v>
      </c>
      <c r="Q155" s="60">
        <f>COUNTIF(Spelarstatistik!A$2:A179, L155)
</f>
        <v>0</v>
      </c>
      <c r="R155" s="60">
        <f>SUMIF(Matcher!AC$5:AC179, L155, Matcher!AH$5:AH179)
</f>
        <v>0</v>
      </c>
      <c r="S155" s="60" t="str">
        <f t="shared" si="4"/>
        <v/>
      </c>
    </row>
    <row r="156">
      <c r="A156" s="60"/>
      <c r="B156" s="61"/>
      <c r="C156" s="61"/>
      <c r="D156" s="61"/>
      <c r="E156" s="61"/>
      <c r="F156" s="61"/>
      <c r="G156" s="61"/>
      <c r="H156" s="61"/>
      <c r="I156" s="60"/>
      <c r="J156" s="62"/>
      <c r="K156" s="62"/>
      <c r="L156" s="60"/>
      <c r="M156" s="60">
        <f>SUMIF(Spelarstatistik!A$2:A179, L156, Spelarstatistik!B$2:B179)
</f>
        <v>0</v>
      </c>
      <c r="N156" s="60">
        <f>SUMIF(Spelarstatistik!A$2:A179, L156, Spelarstatistik!C$2:C179)
</f>
        <v>0</v>
      </c>
      <c r="O156" s="60">
        <f>SUMIF(Spelarstatistik!A$2:A179, L156, Spelarstatistik!D$2:D179)
</f>
        <v>0</v>
      </c>
      <c r="P156" s="60">
        <f>SUMIF(Spelarstatistik!A$2:A179, L156, Spelarstatistik!E$2:E179)
</f>
        <v>0</v>
      </c>
      <c r="Q156" s="60">
        <f>COUNTIF(Spelarstatistik!A$2:A179, L156)
</f>
        <v>0</v>
      </c>
      <c r="R156" s="60">
        <f>SUMIF(Matcher!AC$5:AC179, L156, Matcher!AH$5:AH179)
</f>
        <v>0</v>
      </c>
      <c r="S156" s="60" t="str">
        <f t="shared" si="4"/>
        <v/>
      </c>
    </row>
    <row r="157">
      <c r="A157" s="60"/>
      <c r="B157" s="61"/>
      <c r="C157" s="61"/>
      <c r="D157" s="61"/>
      <c r="E157" s="61"/>
      <c r="F157" s="61"/>
      <c r="G157" s="61"/>
      <c r="H157" s="61"/>
      <c r="I157" s="60"/>
      <c r="J157" s="62"/>
      <c r="K157" s="62"/>
      <c r="L157" s="60"/>
      <c r="M157" s="60">
        <f>SUMIF(Spelarstatistik!A$2:A179, L157, Spelarstatistik!B$2:B179)
</f>
        <v>0</v>
      </c>
      <c r="N157" s="60">
        <f>SUMIF(Spelarstatistik!A$2:A179, L157, Spelarstatistik!C$2:C179)
</f>
        <v>0</v>
      </c>
      <c r="O157" s="60">
        <f>SUMIF(Spelarstatistik!A$2:A179, L157, Spelarstatistik!D$2:D179)
</f>
        <v>0</v>
      </c>
      <c r="P157" s="60">
        <f>SUMIF(Spelarstatistik!A$2:A179, L157, Spelarstatistik!E$2:E179)
</f>
        <v>0</v>
      </c>
      <c r="Q157" s="60">
        <f>COUNTIF(Spelarstatistik!A$2:A179, L157)
</f>
        <v>0</v>
      </c>
      <c r="R157" s="60">
        <f>SUMIF(Matcher!AC$5:AC179, L157, Matcher!AH$5:AH179)
</f>
        <v>0</v>
      </c>
      <c r="S157" s="60" t="str">
        <f t="shared" si="4"/>
        <v/>
      </c>
    </row>
    <row r="158">
      <c r="A158" s="60"/>
      <c r="B158" s="61"/>
      <c r="C158" s="61"/>
      <c r="D158" s="61"/>
      <c r="E158" s="61"/>
      <c r="F158" s="61"/>
      <c r="G158" s="61"/>
      <c r="H158" s="61"/>
      <c r="I158" s="60"/>
      <c r="J158" s="62"/>
      <c r="K158" s="62"/>
      <c r="L158" s="60"/>
      <c r="M158" s="60">
        <f>SUMIF(Spelarstatistik!A$2:A179, L158, Spelarstatistik!B$2:B179)
</f>
        <v>0</v>
      </c>
      <c r="N158" s="60">
        <f>SUMIF(Spelarstatistik!A$2:A179, L158, Spelarstatistik!C$2:C179)
</f>
        <v>0</v>
      </c>
      <c r="O158" s="60">
        <f>SUMIF(Spelarstatistik!A$2:A179, L158, Spelarstatistik!D$2:D179)
</f>
        <v>0</v>
      </c>
      <c r="P158" s="60">
        <f>SUMIF(Spelarstatistik!A$2:A179, L158, Spelarstatistik!E$2:E179)
</f>
        <v>0</v>
      </c>
      <c r="Q158" s="60">
        <f>COUNTIF(Spelarstatistik!A$2:A179, L158)
</f>
        <v>0</v>
      </c>
      <c r="R158" s="60">
        <f>SUMIF(Matcher!AC$5:AC179, L158, Matcher!AH$5:AH179)
</f>
        <v>0</v>
      </c>
      <c r="S158" s="60" t="str">
        <f t="shared" si="4"/>
        <v/>
      </c>
    </row>
    <row r="159">
      <c r="A159" s="60"/>
      <c r="B159" s="61"/>
      <c r="C159" s="61"/>
      <c r="D159" s="61"/>
      <c r="E159" s="61"/>
      <c r="F159" s="61"/>
      <c r="G159" s="61"/>
      <c r="H159" s="61"/>
      <c r="I159" s="60"/>
      <c r="J159" s="62"/>
      <c r="K159" s="62"/>
      <c r="L159" s="60"/>
      <c r="M159" s="60">
        <f>SUMIF(Spelarstatistik!A$2:A179, L159, Spelarstatistik!B$2:B179)
</f>
        <v>0</v>
      </c>
      <c r="N159" s="60">
        <f>SUMIF(Spelarstatistik!A$2:A179, L159, Spelarstatistik!C$2:C179)
</f>
        <v>0</v>
      </c>
      <c r="O159" s="60">
        <f>SUMIF(Spelarstatistik!A$2:A179, L159, Spelarstatistik!D$2:D179)
</f>
        <v>0</v>
      </c>
      <c r="P159" s="60">
        <f>SUMIF(Spelarstatistik!A$2:A179, L159, Spelarstatistik!E$2:E179)
</f>
        <v>0</v>
      </c>
      <c r="Q159" s="60">
        <f>COUNTIF(Spelarstatistik!A$2:A179, L159)
</f>
        <v>0</v>
      </c>
      <c r="R159" s="60">
        <f>SUMIF(Matcher!AC$5:AC179, L159, Matcher!AH$5:AH179)
</f>
        <v>0</v>
      </c>
      <c r="S159" s="60" t="str">
        <f t="shared" si="4"/>
        <v/>
      </c>
    </row>
    <row r="160">
      <c r="A160" s="60"/>
      <c r="B160" s="61"/>
      <c r="C160" s="61"/>
      <c r="D160" s="61"/>
      <c r="E160" s="61"/>
      <c r="F160" s="61"/>
      <c r="G160" s="61"/>
      <c r="H160" s="61"/>
      <c r="I160" s="60"/>
      <c r="J160" s="62"/>
      <c r="K160" s="62"/>
      <c r="L160" s="60"/>
      <c r="M160" s="60">
        <f>SUMIF(Spelarstatistik!A$2:A179, L160, Spelarstatistik!B$2:B179)
</f>
        <v>0</v>
      </c>
      <c r="N160" s="60">
        <f>SUMIF(Spelarstatistik!A$2:A179, L160, Spelarstatistik!C$2:C179)
</f>
        <v>0</v>
      </c>
      <c r="O160" s="60">
        <f>SUMIF(Spelarstatistik!A$2:A179, L160, Spelarstatistik!D$2:D179)
</f>
        <v>0</v>
      </c>
      <c r="P160" s="60">
        <f>SUMIF(Spelarstatistik!A$2:A179, L160, Spelarstatistik!E$2:E179)
</f>
        <v>0</v>
      </c>
      <c r="Q160" s="60">
        <f>COUNTIF(Spelarstatistik!A$2:A179, L160)
</f>
        <v>0</v>
      </c>
      <c r="R160" s="60">
        <f>SUMIF(Matcher!AC$5:AC179, L160, Matcher!AH$5:AH179)
</f>
        <v>0</v>
      </c>
      <c r="S160" s="60" t="str">
        <f t="shared" si="4"/>
        <v/>
      </c>
    </row>
    <row r="161">
      <c r="A161" s="60"/>
      <c r="B161" s="61"/>
      <c r="C161" s="61"/>
      <c r="D161" s="61"/>
      <c r="E161" s="61"/>
      <c r="F161" s="61"/>
      <c r="G161" s="61"/>
      <c r="H161" s="61"/>
      <c r="I161" s="60"/>
      <c r="J161" s="62"/>
      <c r="K161" s="62"/>
      <c r="L161" s="60"/>
      <c r="M161" s="60">
        <f>SUMIF(Spelarstatistik!A$2:A179, L161, Spelarstatistik!B$2:B179)
</f>
        <v>0</v>
      </c>
      <c r="N161" s="60">
        <f>SUMIF(Spelarstatistik!A$2:A179, L161, Spelarstatistik!C$2:C179)
</f>
        <v>0</v>
      </c>
      <c r="O161" s="60">
        <f>SUMIF(Spelarstatistik!A$2:A179, L161, Spelarstatistik!D$2:D179)
</f>
        <v>0</v>
      </c>
      <c r="P161" s="60">
        <f>SUMIF(Spelarstatistik!A$2:A179, L161, Spelarstatistik!E$2:E179)
</f>
        <v>0</v>
      </c>
      <c r="Q161" s="60">
        <f>COUNTIF(Spelarstatistik!A$2:A179, L161)
</f>
        <v>0</v>
      </c>
      <c r="R161" s="60">
        <f>SUMIF(Matcher!AC$5:AC179, L161, Matcher!AH$5:AH179)
</f>
        <v>0</v>
      </c>
      <c r="S161" s="60" t="str">
        <f t="shared" si="4"/>
        <v/>
      </c>
    </row>
    <row r="162">
      <c r="A162" s="60"/>
      <c r="B162" s="61"/>
      <c r="C162" s="61"/>
      <c r="D162" s="61"/>
      <c r="E162" s="61"/>
      <c r="F162" s="61"/>
      <c r="G162" s="61"/>
      <c r="H162" s="61"/>
      <c r="I162" s="60"/>
      <c r="J162" s="62"/>
      <c r="K162" s="62"/>
      <c r="L162" s="60"/>
      <c r="M162" s="60">
        <f>SUMIF(Spelarstatistik!A$2:A179, L162, Spelarstatistik!B$2:B179)
</f>
        <v>0</v>
      </c>
      <c r="N162" s="60">
        <f>SUMIF(Spelarstatistik!A$2:A179, L162, Spelarstatistik!C$2:C179)
</f>
        <v>0</v>
      </c>
      <c r="O162" s="60">
        <f>SUMIF(Spelarstatistik!A$2:A179, L162, Spelarstatistik!D$2:D179)
</f>
        <v>0</v>
      </c>
      <c r="P162" s="60">
        <f>SUMIF(Spelarstatistik!A$2:A179, L162, Spelarstatistik!E$2:E179)
</f>
        <v>0</v>
      </c>
      <c r="Q162" s="60">
        <f>COUNTIF(Spelarstatistik!A$2:A179, L162)
</f>
        <v>0</v>
      </c>
      <c r="R162" s="60">
        <f>SUMIF(Matcher!AC$5:AC179, L162, Matcher!AH$5:AH179)
</f>
        <v>0</v>
      </c>
      <c r="S162" s="60" t="str">
        <f t="shared" si="4"/>
        <v/>
      </c>
    </row>
    <row r="163">
      <c r="A163" s="60"/>
      <c r="B163" s="61"/>
      <c r="C163" s="61"/>
      <c r="D163" s="61"/>
      <c r="E163" s="61"/>
      <c r="F163" s="61"/>
      <c r="G163" s="61"/>
      <c r="H163" s="61"/>
      <c r="I163" s="60"/>
      <c r="J163" s="62"/>
      <c r="K163" s="62"/>
      <c r="L163" s="60"/>
      <c r="M163" s="60">
        <f>SUMIF(Spelarstatistik!A$2:A179, L163, Spelarstatistik!B$2:B179)
</f>
        <v>0</v>
      </c>
      <c r="N163" s="60">
        <f>SUMIF(Spelarstatistik!A$2:A179, L163, Spelarstatistik!C$2:C179)
</f>
        <v>0</v>
      </c>
      <c r="O163" s="60">
        <f>SUMIF(Spelarstatistik!A$2:A179, L163, Spelarstatistik!D$2:D179)
</f>
        <v>0</v>
      </c>
      <c r="P163" s="60">
        <f>SUMIF(Spelarstatistik!A$2:A179, L163, Spelarstatistik!E$2:E179)
</f>
        <v>0</v>
      </c>
      <c r="Q163" s="60">
        <f>COUNTIF(Spelarstatistik!A$2:A179, L163)
</f>
        <v>0</v>
      </c>
      <c r="R163" s="60">
        <f>SUMIF(Matcher!AC$5:AC179, L163, Matcher!AH$5:AH179)
</f>
        <v>0</v>
      </c>
      <c r="S163" s="60" t="str">
        <f t="shared" si="4"/>
        <v/>
      </c>
    </row>
    <row r="164">
      <c r="A164" s="60"/>
      <c r="B164" s="61"/>
      <c r="C164" s="61"/>
      <c r="D164" s="61"/>
      <c r="E164" s="61"/>
      <c r="F164" s="61"/>
      <c r="G164" s="61"/>
      <c r="H164" s="61"/>
      <c r="I164" s="60"/>
      <c r="J164" s="62"/>
      <c r="K164" s="62"/>
      <c r="L164" s="60"/>
      <c r="M164" s="60">
        <f>SUMIF(Spelarstatistik!A$2:A179, L164, Spelarstatistik!B$2:B179)
</f>
        <v>0</v>
      </c>
      <c r="N164" s="60">
        <f>SUMIF(Spelarstatistik!A$2:A179, L164, Spelarstatistik!C$2:C179)
</f>
        <v>0</v>
      </c>
      <c r="O164" s="60">
        <f>SUMIF(Spelarstatistik!A$2:A179, L164, Spelarstatistik!D$2:D179)
</f>
        <v>0</v>
      </c>
      <c r="P164" s="60">
        <f>SUMIF(Spelarstatistik!A$2:A179, L164, Spelarstatistik!E$2:E179)
</f>
        <v>0</v>
      </c>
      <c r="Q164" s="60">
        <f>COUNTIF(Spelarstatistik!A$2:A179, L164)
</f>
        <v>0</v>
      </c>
      <c r="R164" s="60">
        <f>SUMIF(Matcher!AC$5:AC179, L164, Matcher!AH$5:AH179)
</f>
        <v>0</v>
      </c>
      <c r="S164" s="60" t="str">
        <f t="shared" si="4"/>
        <v/>
      </c>
    </row>
    <row r="165">
      <c r="A165" s="60"/>
      <c r="B165" s="61"/>
      <c r="C165" s="61"/>
      <c r="D165" s="61"/>
      <c r="E165" s="61"/>
      <c r="F165" s="61"/>
      <c r="G165" s="61"/>
      <c r="H165" s="61"/>
      <c r="I165" s="60"/>
      <c r="J165" s="62"/>
      <c r="K165" s="62"/>
      <c r="L165" s="60"/>
      <c r="M165" s="60">
        <f>SUMIF(Spelarstatistik!A$2:A179, L165, Spelarstatistik!B$2:B179)
</f>
        <v>0</v>
      </c>
      <c r="N165" s="60">
        <f>SUMIF(Spelarstatistik!A$2:A179, L165, Spelarstatistik!C$2:C179)
</f>
        <v>0</v>
      </c>
      <c r="O165" s="60">
        <f>SUMIF(Spelarstatistik!A$2:A179, L165, Spelarstatistik!D$2:D179)
</f>
        <v>0</v>
      </c>
      <c r="P165" s="60">
        <f>SUMIF(Spelarstatistik!A$2:A179, L165, Spelarstatistik!E$2:E179)
</f>
        <v>0</v>
      </c>
      <c r="Q165" s="60">
        <f>COUNTIF(Spelarstatistik!A$2:A179, L165)
</f>
        <v>0</v>
      </c>
      <c r="R165" s="60">
        <f>SUMIF(Matcher!AC$5:AC179, L165, Matcher!AH$5:AH179)
</f>
        <v>0</v>
      </c>
      <c r="S165" s="60" t="str">
        <f t="shared" si="4"/>
        <v/>
      </c>
    </row>
    <row r="166">
      <c r="A166" s="60"/>
      <c r="B166" s="61"/>
      <c r="C166" s="61"/>
      <c r="D166" s="61"/>
      <c r="E166" s="61"/>
      <c r="F166" s="61"/>
      <c r="G166" s="61"/>
      <c r="H166" s="61"/>
      <c r="I166" s="60"/>
      <c r="J166" s="62"/>
      <c r="K166" s="62"/>
      <c r="L166" s="60"/>
      <c r="M166" s="60">
        <f>SUMIF(Spelarstatistik!A$2:A179, L166, Spelarstatistik!B$2:B179)
</f>
        <v>0</v>
      </c>
      <c r="N166" s="60">
        <f>SUMIF(Spelarstatistik!A$2:A179, L166, Spelarstatistik!C$2:C179)
</f>
        <v>0</v>
      </c>
      <c r="O166" s="60">
        <f>SUMIF(Spelarstatistik!A$2:A179, L166, Spelarstatistik!D$2:D179)
</f>
        <v>0</v>
      </c>
      <c r="P166" s="60">
        <f>SUMIF(Spelarstatistik!A$2:A179, L166, Spelarstatistik!E$2:E179)
</f>
        <v>0</v>
      </c>
      <c r="Q166" s="60">
        <f>COUNTIF(Spelarstatistik!A$2:A179, L166)
</f>
        <v>0</v>
      </c>
      <c r="R166" s="60">
        <f>SUMIF(Matcher!AC$5:AC179, L166, Matcher!AH$5:AH179)
</f>
        <v>0</v>
      </c>
      <c r="S166" s="60" t="str">
        <f t="shared" si="4"/>
        <v/>
      </c>
    </row>
    <row r="167">
      <c r="A167" s="60"/>
      <c r="B167" s="61"/>
      <c r="C167" s="61"/>
      <c r="D167" s="61"/>
      <c r="E167" s="61"/>
      <c r="F167" s="61"/>
      <c r="G167" s="61"/>
      <c r="H167" s="61"/>
      <c r="I167" s="60"/>
      <c r="J167" s="62"/>
      <c r="K167" s="62"/>
      <c r="L167" s="60"/>
      <c r="M167" s="60">
        <f>SUMIF(Spelarstatistik!A$2:A179, L167, Spelarstatistik!B$2:B179)
</f>
        <v>0</v>
      </c>
      <c r="N167" s="60">
        <f>SUMIF(Spelarstatistik!A$2:A179, L167, Spelarstatistik!C$2:C179)
</f>
        <v>0</v>
      </c>
      <c r="O167" s="60">
        <f>SUMIF(Spelarstatistik!A$2:A179, L167, Spelarstatistik!D$2:D179)
</f>
        <v>0</v>
      </c>
      <c r="P167" s="60">
        <f>SUMIF(Spelarstatistik!A$2:A179, L167, Spelarstatistik!E$2:E179)
</f>
        <v>0</v>
      </c>
      <c r="Q167" s="60">
        <f>COUNTIF(Spelarstatistik!A$2:A179, L167)
</f>
        <v>0</v>
      </c>
      <c r="R167" s="60">
        <f>SUMIF(Matcher!AC$5:AC179, L167, Matcher!AH$5:AH179)
</f>
        <v>0</v>
      </c>
      <c r="S167" s="60" t="str">
        <f t="shared" si="4"/>
        <v/>
      </c>
    </row>
    <row r="168">
      <c r="A168" s="60"/>
      <c r="B168" s="61"/>
      <c r="C168" s="61"/>
      <c r="D168" s="61"/>
      <c r="E168" s="61"/>
      <c r="F168" s="61"/>
      <c r="G168" s="61"/>
      <c r="H168" s="61"/>
      <c r="I168" s="60"/>
      <c r="J168" s="62"/>
      <c r="K168" s="62"/>
      <c r="L168" s="60"/>
      <c r="M168" s="60">
        <f>SUMIF(Spelarstatistik!A$2:A179, L168, Spelarstatistik!B$2:B179)
</f>
        <v>0</v>
      </c>
      <c r="N168" s="60">
        <f>SUMIF(Spelarstatistik!A$2:A179, L168, Spelarstatistik!C$2:C179)
</f>
        <v>0</v>
      </c>
      <c r="O168" s="60">
        <f>SUMIF(Spelarstatistik!A$2:A179, L168, Spelarstatistik!D$2:D179)
</f>
        <v>0</v>
      </c>
      <c r="P168" s="60">
        <f>SUMIF(Spelarstatistik!A$2:A179, L168, Spelarstatistik!E$2:E179)
</f>
        <v>0</v>
      </c>
      <c r="Q168" s="60">
        <f>COUNTIF(Spelarstatistik!A$2:A179, L168)
</f>
        <v>0</v>
      </c>
      <c r="R168" s="60">
        <f>SUMIF(Matcher!AC$5:AC179, L168, Matcher!AH$5:AH179)
</f>
        <v>0</v>
      </c>
      <c r="S168" s="60" t="str">
        <f t="shared" si="4"/>
        <v/>
      </c>
    </row>
    <row r="169">
      <c r="A169" s="60"/>
      <c r="B169" s="61"/>
      <c r="C169" s="61"/>
      <c r="D169" s="61"/>
      <c r="E169" s="61"/>
      <c r="F169" s="61"/>
      <c r="G169" s="61"/>
      <c r="H169" s="61"/>
      <c r="I169" s="60"/>
      <c r="J169" s="62"/>
      <c r="K169" s="62"/>
      <c r="L169" s="60"/>
      <c r="M169" s="60">
        <f>SUMIF(Spelarstatistik!A$2:A179, L169, Spelarstatistik!B$2:B179)
</f>
        <v>0</v>
      </c>
      <c r="N169" s="60">
        <f>SUMIF(Spelarstatistik!A$2:A179, L169, Spelarstatistik!C$2:C179)
</f>
        <v>0</v>
      </c>
      <c r="O169" s="60">
        <f>SUMIF(Spelarstatistik!A$2:A179, L169, Spelarstatistik!D$2:D179)
</f>
        <v>0</v>
      </c>
      <c r="P169" s="60">
        <f>SUMIF(Spelarstatistik!A$2:A179, L169, Spelarstatistik!E$2:E179)
</f>
        <v>0</v>
      </c>
      <c r="Q169" s="60">
        <f>COUNTIF(Spelarstatistik!A$2:A179, L169)
</f>
        <v>0</v>
      </c>
      <c r="R169" s="60">
        <f>SUMIF(Matcher!AC$5:AC179, L169, Matcher!AH$5:AH179)
</f>
        <v>0</v>
      </c>
      <c r="S169" s="60" t="str">
        <f t="shared" si="4"/>
        <v/>
      </c>
    </row>
    <row r="170">
      <c r="A170" s="60"/>
      <c r="B170" s="61"/>
      <c r="C170" s="61"/>
      <c r="D170" s="61"/>
      <c r="E170" s="61"/>
      <c r="F170" s="61"/>
      <c r="G170" s="61"/>
      <c r="H170" s="61"/>
      <c r="I170" s="60"/>
      <c r="J170" s="62"/>
      <c r="K170" s="62"/>
      <c r="L170" s="60"/>
      <c r="M170" s="60">
        <f>SUMIF(Spelarstatistik!A$2:A179, L170, Spelarstatistik!B$2:B179)
</f>
        <v>0</v>
      </c>
      <c r="N170" s="60">
        <f>SUMIF(Spelarstatistik!A$2:A179, L170, Spelarstatistik!C$2:C179)
</f>
        <v>0</v>
      </c>
      <c r="O170" s="60">
        <f>SUMIF(Spelarstatistik!A$2:A179, L170, Spelarstatistik!D$2:D179)
</f>
        <v>0</v>
      </c>
      <c r="P170" s="60">
        <f>SUMIF(Spelarstatistik!A$2:A179, L170, Spelarstatistik!E$2:E179)
</f>
        <v>0</v>
      </c>
      <c r="Q170" s="60">
        <f>COUNTIF(Spelarstatistik!A$2:A179, L170)
</f>
        <v>0</v>
      </c>
      <c r="R170" s="60">
        <f>SUMIF(Matcher!AC$5:AC179, L170, Matcher!AH$5:AH179)
</f>
        <v>0</v>
      </c>
      <c r="S170" s="60" t="str">
        <f t="shared" si="4"/>
        <v/>
      </c>
    </row>
    <row r="171">
      <c r="A171" s="60"/>
      <c r="B171" s="61"/>
      <c r="C171" s="61"/>
      <c r="D171" s="61"/>
      <c r="E171" s="61"/>
      <c r="F171" s="61"/>
      <c r="G171" s="61"/>
      <c r="H171" s="61"/>
      <c r="I171" s="60"/>
      <c r="J171" s="62"/>
      <c r="K171" s="62"/>
      <c r="L171" s="60"/>
      <c r="M171" s="60">
        <f>SUMIF(Spelarstatistik!A$2:A179, L171, Spelarstatistik!B$2:B179)
</f>
        <v>0</v>
      </c>
      <c r="N171" s="60">
        <f>SUMIF(Spelarstatistik!A$2:A179, L171, Spelarstatistik!C$2:C179)
</f>
        <v>0</v>
      </c>
      <c r="O171" s="60">
        <f>SUMIF(Spelarstatistik!A$2:A179, L171, Spelarstatistik!D$2:D179)
</f>
        <v>0</v>
      </c>
      <c r="P171" s="60">
        <f>SUMIF(Spelarstatistik!A$2:A179, L171, Spelarstatistik!E$2:E179)
</f>
        <v>0</v>
      </c>
      <c r="Q171" s="60">
        <f>COUNTIF(Spelarstatistik!A$2:A179, L171)
</f>
        <v>0</v>
      </c>
      <c r="R171" s="60">
        <f>SUMIF(Matcher!AC$5:AC179, L171, Matcher!AH$5:AH179)
</f>
        <v>0</v>
      </c>
      <c r="S171" s="60" t="str">
        <f t="shared" si="4"/>
        <v/>
      </c>
    </row>
    <row r="172">
      <c r="A172" s="60"/>
      <c r="B172" s="61"/>
      <c r="C172" s="61"/>
      <c r="D172" s="61"/>
      <c r="E172" s="61"/>
      <c r="F172" s="61"/>
      <c r="G172" s="61"/>
      <c r="H172" s="61"/>
      <c r="I172" s="60"/>
      <c r="J172" s="62"/>
      <c r="K172" s="62"/>
      <c r="L172" s="60"/>
      <c r="M172" s="60">
        <f>SUMIF(Spelarstatistik!A$2:A179, L172, Spelarstatistik!B$2:B179)
</f>
        <v>0</v>
      </c>
      <c r="N172" s="60">
        <f>SUMIF(Spelarstatistik!A$2:A179, L172, Spelarstatistik!C$2:C179)
</f>
        <v>0</v>
      </c>
      <c r="O172" s="60">
        <f>SUMIF(Spelarstatistik!A$2:A179, L172, Spelarstatistik!D$2:D179)
</f>
        <v>0</v>
      </c>
      <c r="P172" s="60">
        <f>SUMIF(Spelarstatistik!A$2:A179, L172, Spelarstatistik!E$2:E179)
</f>
        <v>0</v>
      </c>
      <c r="Q172" s="60">
        <f>COUNTIF(Spelarstatistik!A$2:A179, L172)
</f>
        <v>0</v>
      </c>
      <c r="R172" s="60">
        <f>SUMIF(Matcher!AC$5:AC179, L172, Matcher!AH$5:AH179)
</f>
        <v>0</v>
      </c>
      <c r="S172" s="60" t="str">
        <f t="shared" si="4"/>
        <v/>
      </c>
    </row>
    <row r="173">
      <c r="A173" s="60"/>
      <c r="B173" s="61"/>
      <c r="C173" s="61"/>
      <c r="D173" s="61"/>
      <c r="E173" s="61"/>
      <c r="F173" s="61"/>
      <c r="G173" s="61"/>
      <c r="H173" s="61"/>
      <c r="I173" s="60"/>
      <c r="J173" s="62"/>
      <c r="K173" s="62"/>
      <c r="L173" s="60"/>
      <c r="M173" s="60">
        <f>SUMIF(Spelarstatistik!A$2:A179, L173, Spelarstatistik!B$2:B179)
</f>
        <v>0</v>
      </c>
      <c r="N173" s="60">
        <f>SUMIF(Spelarstatistik!A$2:A179, L173, Spelarstatistik!C$2:C179)
</f>
        <v>0</v>
      </c>
      <c r="O173" s="60">
        <f>SUMIF(Spelarstatistik!A$2:A179, L173, Spelarstatistik!D$2:D179)
</f>
        <v>0</v>
      </c>
      <c r="P173" s="60">
        <f>SUMIF(Spelarstatistik!A$2:A179, L173, Spelarstatistik!E$2:E179)
</f>
        <v>0</v>
      </c>
      <c r="Q173" s="60">
        <f>COUNTIF(Spelarstatistik!A$2:A179, L173)
</f>
        <v>0</v>
      </c>
      <c r="R173" s="60">
        <f>SUMIF(Matcher!AC$5:AC179, L173, Matcher!AH$5:AH179)
</f>
        <v>0</v>
      </c>
      <c r="S173" s="60" t="str">
        <f t="shared" si="4"/>
        <v/>
      </c>
    </row>
    <row r="174">
      <c r="A174" s="60"/>
      <c r="B174" s="61"/>
      <c r="C174" s="61"/>
      <c r="D174" s="61"/>
      <c r="E174" s="61"/>
      <c r="F174" s="61"/>
      <c r="G174" s="61"/>
      <c r="H174" s="61"/>
      <c r="I174" s="60"/>
      <c r="J174" s="62"/>
      <c r="K174" s="62"/>
      <c r="L174" s="60"/>
      <c r="M174" s="60">
        <f>SUMIF(Spelarstatistik!A$2:A179, L174, Spelarstatistik!B$2:B179)
</f>
        <v>0</v>
      </c>
      <c r="N174" s="60">
        <f>SUMIF(Spelarstatistik!A$2:A179, L174, Spelarstatistik!C$2:C179)
</f>
        <v>0</v>
      </c>
      <c r="O174" s="60">
        <f>SUMIF(Spelarstatistik!A$2:A179, L174, Spelarstatistik!D$2:D179)
</f>
        <v>0</v>
      </c>
      <c r="P174" s="60">
        <f>SUMIF(Spelarstatistik!A$2:A179, L174, Spelarstatistik!E$2:E179)
</f>
        <v>0</v>
      </c>
      <c r="Q174" s="60">
        <f>COUNTIF(Spelarstatistik!A$2:A179, L174)
</f>
        <v>0</v>
      </c>
      <c r="R174" s="60">
        <f>SUMIF(Matcher!AC$5:AC179, L174, Matcher!AH$5:AH179)
</f>
        <v>0</v>
      </c>
      <c r="S174" s="60" t="str">
        <f t="shared" si="4"/>
        <v/>
      </c>
    </row>
    <row r="175">
      <c r="A175" s="60"/>
      <c r="B175" s="61"/>
      <c r="C175" s="61"/>
      <c r="D175" s="61"/>
      <c r="E175" s="61"/>
      <c r="F175" s="61"/>
      <c r="G175" s="61"/>
      <c r="H175" s="61"/>
      <c r="I175" s="60"/>
      <c r="J175" s="62"/>
      <c r="K175" s="62"/>
      <c r="L175" s="60"/>
      <c r="M175" s="60">
        <f>SUMIF(Spelarstatistik!A$2:A179, L175, Spelarstatistik!B$2:B179)
</f>
        <v>0</v>
      </c>
      <c r="N175" s="60">
        <f>SUMIF(Spelarstatistik!A$2:A179, L175, Spelarstatistik!C$2:C179)
</f>
        <v>0</v>
      </c>
      <c r="O175" s="60">
        <f>SUMIF(Spelarstatistik!A$2:A179, L175, Spelarstatistik!D$2:D179)
</f>
        <v>0</v>
      </c>
      <c r="P175" s="60">
        <f>SUMIF(Spelarstatistik!A$2:A179, L175, Spelarstatistik!E$2:E179)
</f>
        <v>0</v>
      </c>
      <c r="Q175" s="60">
        <f>COUNTIF(Spelarstatistik!A$2:A179, L175)
</f>
        <v>0</v>
      </c>
      <c r="R175" s="60">
        <f>SUMIF(Matcher!AC$5:AC179, L175, Matcher!AH$5:AH179)
</f>
        <v>0</v>
      </c>
      <c r="S175" s="60" t="str">
        <f t="shared" si="4"/>
        <v/>
      </c>
    </row>
    <row r="176">
      <c r="A176" s="60"/>
      <c r="B176" s="61"/>
      <c r="C176" s="61"/>
      <c r="D176" s="61"/>
      <c r="E176" s="61"/>
      <c r="F176" s="61"/>
      <c r="G176" s="61"/>
      <c r="H176" s="61"/>
      <c r="I176" s="60"/>
      <c r="J176" s="62"/>
      <c r="K176" s="62"/>
      <c r="L176" s="60"/>
      <c r="M176" s="60">
        <f>SUMIF(Spelarstatistik!A$2:A179, L176, Spelarstatistik!B$2:B179)
</f>
        <v>0</v>
      </c>
      <c r="N176" s="60">
        <f>SUMIF(Spelarstatistik!A$2:A179, L176, Spelarstatistik!C$2:C179)
</f>
        <v>0</v>
      </c>
      <c r="O176" s="60">
        <f>SUMIF(Spelarstatistik!A$2:A179, L176, Spelarstatistik!D$2:D179)
</f>
        <v>0</v>
      </c>
      <c r="P176" s="60">
        <f>SUMIF(Spelarstatistik!A$2:A179, L176, Spelarstatistik!E$2:E179)
</f>
        <v>0</v>
      </c>
      <c r="Q176" s="60">
        <f>COUNTIF(Spelarstatistik!A$2:A179, L176)
</f>
        <v>0</v>
      </c>
      <c r="R176" s="60">
        <f>SUMIF(Matcher!AC$5:AC179, L176, Matcher!AH$5:AH179)
</f>
        <v>0</v>
      </c>
      <c r="S176" s="60" t="str">
        <f t="shared" si="4"/>
        <v/>
      </c>
    </row>
    <row r="177">
      <c r="A177" s="60"/>
      <c r="B177" s="61"/>
      <c r="C177" s="61"/>
      <c r="D177" s="61"/>
      <c r="E177" s="61"/>
      <c r="F177" s="61"/>
      <c r="G177" s="61"/>
      <c r="H177" s="61"/>
      <c r="I177" s="60"/>
      <c r="J177" s="62"/>
      <c r="K177" s="62"/>
      <c r="L177" s="60"/>
      <c r="M177" s="60">
        <f>SUMIF(Spelarstatistik!A$2:A179, L177, Spelarstatistik!B$2:B179)
</f>
        <v>0</v>
      </c>
      <c r="N177" s="60">
        <f>SUMIF(Spelarstatistik!A$2:A179, L177, Spelarstatistik!C$2:C179)
</f>
        <v>0</v>
      </c>
      <c r="O177" s="60">
        <f>SUMIF(Spelarstatistik!A$2:A179, L177, Spelarstatistik!D$2:D179)
</f>
        <v>0</v>
      </c>
      <c r="P177" s="60">
        <f>SUMIF(Spelarstatistik!A$2:A179, L177, Spelarstatistik!E$2:E179)
</f>
        <v>0</v>
      </c>
      <c r="Q177" s="60">
        <f>COUNTIF(Spelarstatistik!A$2:A179, L177)
</f>
        <v>0</v>
      </c>
      <c r="R177" s="60">
        <f>SUMIF(Matcher!AC$5:AC179, L177, Matcher!AH$5:AH179)
</f>
        <v>0</v>
      </c>
      <c r="S177" s="60" t="str">
        <f t="shared" si="4"/>
        <v/>
      </c>
    </row>
    <row r="178">
      <c r="A178" s="60"/>
      <c r="B178" s="61"/>
      <c r="C178" s="61"/>
      <c r="D178" s="61"/>
      <c r="E178" s="61"/>
      <c r="F178" s="61"/>
      <c r="G178" s="61"/>
      <c r="H178" s="61"/>
      <c r="I178" s="60"/>
      <c r="J178" s="62"/>
      <c r="K178" s="62"/>
      <c r="L178" s="60"/>
      <c r="M178" s="60">
        <f>SUMIF(Spelarstatistik!A$2:A179, L178, Spelarstatistik!B$2:B179)
</f>
        <v>0</v>
      </c>
      <c r="N178" s="60">
        <f>SUMIF(Spelarstatistik!A$2:A179, L178, Spelarstatistik!C$2:C179)
</f>
        <v>0</v>
      </c>
      <c r="O178" s="60">
        <f>SUMIF(Spelarstatistik!A$2:A179, L178, Spelarstatistik!D$2:D179)
</f>
        <v>0</v>
      </c>
      <c r="P178" s="60">
        <f>SUMIF(Spelarstatistik!A$2:A179, L178, Spelarstatistik!E$2:E179)
</f>
        <v>0</v>
      </c>
      <c r="Q178" s="60">
        <f>COUNTIF(Spelarstatistik!A$2:A179, L178)
</f>
        <v>0</v>
      </c>
      <c r="R178" s="60">
        <f>SUMIF(Matcher!AC$5:AC179, L178, Matcher!AH$5:AH179)
</f>
        <v>0</v>
      </c>
      <c r="S178" s="60" t="str">
        <f t="shared" si="4"/>
        <v/>
      </c>
    </row>
    <row r="179">
      <c r="A179" s="60"/>
      <c r="B179" s="61"/>
      <c r="C179" s="61"/>
      <c r="D179" s="61"/>
      <c r="E179" s="61"/>
      <c r="F179" s="61"/>
      <c r="G179" s="61"/>
      <c r="H179" s="61"/>
      <c r="I179" s="60"/>
      <c r="J179" s="62"/>
      <c r="K179" s="62"/>
      <c r="L179" s="60"/>
      <c r="M179" s="60">
        <f>SUMIF(Spelarstatistik!A$2:A179, L179, Spelarstatistik!B$2:B179)
</f>
        <v>0</v>
      </c>
      <c r="N179" s="60">
        <f>SUMIF(Spelarstatistik!A$2:A179, L179, Spelarstatistik!C$2:C179)
</f>
        <v>0</v>
      </c>
      <c r="O179" s="60">
        <f>SUMIF(Spelarstatistik!A$2:A179, L179, Spelarstatistik!D$2:D179)
</f>
        <v>0</v>
      </c>
      <c r="P179" s="60">
        <f>SUMIF(Spelarstatistik!A$2:A179, L179, Spelarstatistik!E$2:E179)
</f>
        <v>0</v>
      </c>
      <c r="Q179" s="60">
        <f>COUNTIF(Spelarstatistik!A$2:A179, L179)
</f>
        <v>0</v>
      </c>
      <c r="R179" s="60">
        <f>SUMIF(Matcher!AC$5:AC179, L179, Matcher!AH$5:AH179)
</f>
        <v>0</v>
      </c>
      <c r="S179" s="60" t="str">
        <f t="shared" si="4"/>
        <v/>
      </c>
    </row>
  </sheetData>
  <mergeCells count="1">
    <mergeCell ref="H1:I1"/>
  </mergeCells>
  <conditionalFormatting sqref="I2:K179">
    <cfRule type="colorScale" priority="1">
      <colorScale>
        <cfvo type="formula" val="G2:G36"/>
        <cfvo type="formula" val="G2:G36"/>
        <color rgb="FFFFFFFF"/>
        <color rgb="FF57BB8A"/>
      </colorScale>
    </cfRule>
  </conditionalFormatting>
  <conditionalFormatting sqref="A2:H179">
    <cfRule type="colorScale" priority="2">
      <colorScale>
        <cfvo type="min"/>
        <cfvo type="max"/>
        <color rgb="FFFFFFFF"/>
        <color rgb="FF57BB8A"/>
      </colorScale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hidden="1" min="3" max="3" width="18.13"/>
    <col customWidth="1" hidden="1" min="4" max="5" width="17.0"/>
  </cols>
  <sheetData>
    <row r="1">
      <c r="A1" s="58" t="s">
        <v>81</v>
      </c>
      <c r="B1" s="58" t="s">
        <v>82</v>
      </c>
      <c r="C1" s="59" t="s">
        <v>83</v>
      </c>
      <c r="D1" s="59" t="s">
        <v>84</v>
      </c>
      <c r="E1" s="59" t="s">
        <v>85</v>
      </c>
      <c r="F1" s="65" t="s">
        <v>2</v>
      </c>
      <c r="G1" s="66" t="s">
        <v>5</v>
      </c>
      <c r="H1" s="67" t="s">
        <v>86</v>
      </c>
      <c r="I1" s="68" t="s">
        <v>7</v>
      </c>
      <c r="J1" s="69"/>
      <c r="K1" s="65" t="s">
        <v>2</v>
      </c>
      <c r="L1" s="66" t="s">
        <v>5</v>
      </c>
      <c r="M1" s="67" t="s">
        <v>86</v>
      </c>
      <c r="N1" s="68" t="s">
        <v>7</v>
      </c>
    </row>
    <row r="2">
      <c r="A2" s="70" t="s">
        <v>87</v>
      </c>
      <c r="C2" s="71"/>
      <c r="D2" s="71"/>
      <c r="E2" s="71"/>
      <c r="F2" s="24">
        <f>IFERROR(__xludf.DUMMYFUNCTION("IFERROR(ROUND(AVERAGE(FILTER('Poängligan'!$J$2:$J31, MATCH('Poängligan'!$A$2:$A31, F3:F31, 0))), 2), """")"),11.43)</f>
        <v>11.43</v>
      </c>
      <c r="G2" s="26">
        <f>IFERROR(__xludf.DUMMYFUNCTION("IFERROR(ROUND(AVERAGE(FILTER('Poängligan'!$J$2:$J31, MATCH('Poängligan'!$A$2:$A31, G3:G31, 0))), 2), """")"),9.74)</f>
        <v>9.74</v>
      </c>
      <c r="H2" s="28" t="str">
        <f>IFERROR(__xludf.DUMMYFUNCTION("IFERROR(ROUND(AVERAGE(FILTER('Poängligan'!$J$2:$J31, MATCH('Poängligan'!$A$2:$A31, H3:H31, 0))), 2), """")"),"")</f>
        <v/>
      </c>
      <c r="I2" s="31" t="str">
        <f>IFERROR(__xludf.DUMMYFUNCTION("IFERROR(ROUND(AVERAGE(FILTER('Poängligan'!$J$2:$J31, MATCH('Poängligan'!$A$2:$A31, I3:I31, 0))), 2), """")"),"")</f>
        <v/>
      </c>
      <c r="J2" s="72"/>
      <c r="K2" s="24">
        <f>IFERROR(__xludf.DUMMYFUNCTION("IFERROR(ROUND(AVERAGE(FILTER('Poängligan'!$J$2:$J31, MATCH('Poängligan'!$A$2:$A31, K3:K31, 0))), 2), """")"),10.4)</f>
        <v>10.4</v>
      </c>
      <c r="L2" s="26">
        <f>IFERROR(__xludf.DUMMYFUNCTION("IFERROR(ROUND(AVERAGE(FILTER('Poängligan'!$J$2:$J31, MATCH('Poängligan'!$A$2:$A31, L3:L31, 0))), 2), """")"),9.55)</f>
        <v>9.55</v>
      </c>
      <c r="M2" s="28">
        <f>IFERROR(__xludf.DUMMYFUNCTION("IFERROR(ROUND(AVERAGE(FILTER('Poängligan'!$J$2:$J31, MATCH('Poängligan'!$A$2:$A31, M3:M31, 0))), 2), """")"),9.45)</f>
        <v>9.45</v>
      </c>
      <c r="N2" s="31" t="str">
        <f>IFERROR(__xludf.DUMMYFUNCTION("IFERROR(ROUND(AVERAGE(FILTER('Poängligan'!$J$2:$J31, MATCH('Poängligan'!$A$2:$A31, N3:N31, 0))), 2), """")"),"")</f>
        <v/>
      </c>
    </row>
    <row r="3">
      <c r="A3" s="73" t="s">
        <v>35</v>
      </c>
      <c r="B3" s="74">
        <v>2.0</v>
      </c>
      <c r="C3" s="75">
        <f>IF(ISBLANK(A3), "", RAND())</f>
        <v>0.5202665549</v>
      </c>
      <c r="D3" s="75">
        <f>IF(ISBLANK(A3), "", RANK(C3, $C$3:$C31))
</f>
        <v>8</v>
      </c>
      <c r="E3" s="75">
        <f>IF(ISBLANK(A3), "", MOD(D3-1, $B$3) + 1)
</f>
        <v>2</v>
      </c>
      <c r="F3" s="38" t="str">
        <f>IFERROR(__xludf.DUMMYFUNCTION("SORT(IF($B$3&gt;=1, FILTER($A$3:$A31, $E$3:$E31=1), """"))
"),"Daniel Ö")</f>
        <v>Daniel Ö</v>
      </c>
      <c r="G3" s="35" t="str">
        <f>IFERROR(__xludf.DUMMYFUNCTION("SORT(IF($B$3&gt;=2, FILTER($A$3:$A31, $E$3:$E31=2), """"))
"),"Daniel K")</f>
        <v>Daniel K</v>
      </c>
      <c r="H3" s="76" t="str">
        <f>IFERROR(__xludf.DUMMYFUNCTION("SORT(IF($B$3&gt;=3, FILTER($A$3:$A31, $E$3:$E31=3), """"))
"),"")</f>
        <v/>
      </c>
      <c r="I3" s="77"/>
      <c r="J3" s="78">
        <f>MAX(F2:I2)-MIN(F2:I2)</f>
        <v>1.69</v>
      </c>
      <c r="K3" s="23" t="s">
        <v>24</v>
      </c>
      <c r="L3" s="25" t="s">
        <v>55</v>
      </c>
      <c r="M3" s="79" t="s">
        <v>88</v>
      </c>
      <c r="N3" s="80"/>
    </row>
    <row r="4">
      <c r="A4" s="73" t="s">
        <v>36</v>
      </c>
      <c r="B4" s="81"/>
      <c r="C4" s="75">
        <f>IF(ISBLANK(#REF!), "", RAND())</f>
        <v>0.5263996699</v>
      </c>
      <c r="D4" s="75">
        <f>IF(ISBLANK(#REF!), "", RANK(C4, $C$3:$C31))
</f>
        <v>7</v>
      </c>
      <c r="E4" s="75">
        <f>IF(ISBLANK(#REF!), "", MOD(D4-1, $B$3) + 1)
</f>
        <v>1</v>
      </c>
      <c r="F4" s="38" t="str">
        <f>IFERROR(__xludf.DUMMYFUNCTION("""COMPUTED_VALUE"""),"Isak L")</f>
        <v>Isak L</v>
      </c>
      <c r="G4" s="35" t="str">
        <f>IFERROR(__xludf.DUMMYFUNCTION("""COMPUTED_VALUE"""),"Dennis F")</f>
        <v>Dennis F</v>
      </c>
      <c r="H4" s="76"/>
      <c r="I4" s="77"/>
      <c r="J4" s="78"/>
      <c r="K4" s="23" t="s">
        <v>89</v>
      </c>
      <c r="L4" s="25" t="s">
        <v>33</v>
      </c>
      <c r="M4" s="79" t="s">
        <v>35</v>
      </c>
      <c r="N4" s="77"/>
    </row>
    <row r="5">
      <c r="A5" s="73" t="s">
        <v>41</v>
      </c>
      <c r="C5" s="75">
        <f>IF(ISBLANK(A5), "", RAND())</f>
        <v>0.2170365783</v>
      </c>
      <c r="D5" s="75">
        <f>IF(ISBLANK(A5), "", RANK(C5, $C$3:$C31))
</f>
        <v>11</v>
      </c>
      <c r="E5" s="75">
        <f>IF(ISBLANK(A5), "", MOD(D5-1, $B$3) + 1)
</f>
        <v>1</v>
      </c>
      <c r="F5" s="38" t="str">
        <f>IFERROR(__xludf.DUMMYFUNCTION("""COMPUTED_VALUE"""),"Jakob S")</f>
        <v>Jakob S</v>
      </c>
      <c r="G5" s="35" t="str">
        <f>IFERROR(__xludf.DUMMYFUNCTION("""COMPUTED_VALUE"""),"Emil A")</f>
        <v>Emil A</v>
      </c>
      <c r="H5" s="76"/>
      <c r="I5" s="77"/>
      <c r="J5" s="78"/>
      <c r="K5" s="23" t="s">
        <v>90</v>
      </c>
      <c r="L5" s="25" t="s">
        <v>91</v>
      </c>
      <c r="M5" s="79" t="s">
        <v>34</v>
      </c>
      <c r="N5" s="77"/>
    </row>
    <row r="6">
      <c r="A6" s="82" t="s">
        <v>25</v>
      </c>
      <c r="C6" s="75">
        <f t="shared" ref="C6:C10" si="1">IF(ISBLANK(#REF!), "", RAND())</f>
        <v>0.8037007033</v>
      </c>
      <c r="D6" s="75">
        <f t="shared" ref="D6:D10" si="2">IF(ISBLANK(#REF!), "", RANK(C6, $C$3:$C31))
</f>
        <v>2</v>
      </c>
      <c r="E6" s="75">
        <f t="shared" ref="E6:E10" si="3">IF(ISBLANK(#REF!), "", MOD(D6-1, $B$3) + 1)
</f>
        <v>2</v>
      </c>
      <c r="F6" s="38"/>
      <c r="G6" s="35" t="str">
        <f>IFERROR(__xludf.DUMMYFUNCTION("""COMPUTED_VALUE"""),"Ivan N")</f>
        <v>Ivan N</v>
      </c>
      <c r="H6" s="76"/>
      <c r="I6" s="77"/>
      <c r="J6" s="78"/>
      <c r="K6" s="23"/>
      <c r="L6" s="25" t="s">
        <v>92</v>
      </c>
      <c r="M6" s="79" t="s">
        <v>93</v>
      </c>
      <c r="N6" s="80"/>
    </row>
    <row r="7">
      <c r="A7" s="73" t="s">
        <v>57</v>
      </c>
      <c r="C7" s="75">
        <f t="shared" si="1"/>
        <v>0.3387795809</v>
      </c>
      <c r="D7" s="75">
        <f t="shared" si="2"/>
        <v>9</v>
      </c>
      <c r="E7" s="75">
        <f t="shared" si="3"/>
        <v>1</v>
      </c>
      <c r="F7" s="38"/>
      <c r="G7" s="35" t="str">
        <f>IFERROR(__xludf.DUMMYFUNCTION("""COMPUTED_VALUE"""),"Joel ")</f>
        <v>Joel </v>
      </c>
      <c r="H7" s="76"/>
      <c r="I7" s="77"/>
      <c r="J7" s="78"/>
      <c r="K7" s="38"/>
      <c r="L7" s="35"/>
      <c r="M7" s="76"/>
      <c r="N7" s="77"/>
    </row>
    <row r="8">
      <c r="A8" s="83" t="s">
        <v>94</v>
      </c>
      <c r="C8" s="75">
        <f t="shared" si="1"/>
        <v>0.3137351548</v>
      </c>
      <c r="D8" s="75">
        <f t="shared" si="2"/>
        <v>10</v>
      </c>
      <c r="E8" s="75">
        <f t="shared" si="3"/>
        <v>2</v>
      </c>
      <c r="F8" s="38"/>
      <c r="G8" s="35" t="str">
        <f>IFERROR(__xludf.DUMMYFUNCTION("""COMPUTED_VALUE"""),"Oliver G")</f>
        <v>Oliver G</v>
      </c>
      <c r="H8" s="76"/>
      <c r="I8" s="77"/>
      <c r="J8" s="78"/>
      <c r="K8" s="38"/>
      <c r="L8" s="35"/>
      <c r="M8" s="76"/>
      <c r="N8" s="80"/>
    </row>
    <row r="9">
      <c r="A9" s="83" t="s">
        <v>58</v>
      </c>
      <c r="C9" s="75">
        <f t="shared" si="1"/>
        <v>0.2083219025</v>
      </c>
      <c r="D9" s="75">
        <f t="shared" si="2"/>
        <v>12</v>
      </c>
      <c r="E9" s="75">
        <f t="shared" si="3"/>
        <v>2</v>
      </c>
      <c r="F9" s="38"/>
      <c r="G9" s="35" t="str">
        <f>IFERROR(__xludf.DUMMYFUNCTION("""COMPUTED_VALUE"""),"Yvan P")</f>
        <v>Yvan P</v>
      </c>
      <c r="H9" s="76"/>
      <c r="I9" s="77"/>
      <c r="J9" s="78"/>
      <c r="K9" s="38"/>
      <c r="L9" s="35"/>
      <c r="M9" s="76"/>
      <c r="N9" s="80"/>
    </row>
    <row r="10">
      <c r="A10" s="73" t="s">
        <v>55</v>
      </c>
      <c r="C10" s="75">
        <f t="shared" si="1"/>
        <v>0.7232311731</v>
      </c>
      <c r="D10" s="75">
        <f t="shared" si="2"/>
        <v>4</v>
      </c>
      <c r="E10" s="75">
        <f t="shared" si="3"/>
        <v>2</v>
      </c>
      <c r="F10" s="38"/>
      <c r="G10" s="35"/>
      <c r="H10" s="76"/>
      <c r="I10" s="77"/>
      <c r="J10" s="78"/>
      <c r="K10" s="38"/>
      <c r="L10" s="35"/>
      <c r="M10" s="76"/>
      <c r="N10" s="80"/>
    </row>
    <row r="11">
      <c r="A11" s="83" t="s">
        <v>95</v>
      </c>
      <c r="C11" s="75">
        <f>IF(ISBLANK(A4), "", RAND())</f>
        <v>0.08696658247</v>
      </c>
      <c r="D11" s="75">
        <f>IF(ISBLANK(A4), "", RANK(C11, $C$3:$C31))
</f>
        <v>14</v>
      </c>
      <c r="E11" s="75">
        <f>IF(ISBLANK(A4), "", MOD(D11-1, $B$3) + 1)
</f>
        <v>2</v>
      </c>
      <c r="F11" s="38"/>
      <c r="G11" s="35"/>
      <c r="H11" s="76"/>
      <c r="I11" s="77"/>
      <c r="J11" s="78"/>
      <c r="K11" s="38"/>
      <c r="L11" s="35"/>
      <c r="M11" s="76"/>
      <c r="N11" s="80"/>
    </row>
    <row r="12">
      <c r="A12" s="83" t="s">
        <v>60</v>
      </c>
      <c r="C12" s="75">
        <f t="shared" ref="C12:C16" si="4">IF(ISBLANK(#REF!), "", RAND())</f>
        <v>0.0227563889</v>
      </c>
      <c r="D12" s="75">
        <f t="shared" ref="D12:D16" si="5">IF(ISBLANK(#REF!), "", RANK(C12, $C$3:$C31))
</f>
        <v>16</v>
      </c>
      <c r="E12" s="75">
        <f t="shared" ref="E12:E16" si="6">IF(ISBLANK(#REF!), "", MOD(D12-1, $B$3) + 1)
</f>
        <v>2</v>
      </c>
      <c r="F12" s="38"/>
      <c r="G12" s="35"/>
      <c r="H12" s="76"/>
      <c r="I12" s="80"/>
      <c r="J12" s="78"/>
      <c r="K12" s="38"/>
      <c r="L12" s="35"/>
      <c r="M12" s="76"/>
      <c r="N12" s="80"/>
    </row>
    <row r="13">
      <c r="C13" s="75">
        <f t="shared" si="4"/>
        <v>0.9802371123</v>
      </c>
      <c r="D13" s="75">
        <f t="shared" si="5"/>
        <v>1</v>
      </c>
      <c r="E13" s="75">
        <f t="shared" si="6"/>
        <v>1</v>
      </c>
      <c r="F13" s="38"/>
      <c r="G13" s="35"/>
      <c r="H13" s="76"/>
      <c r="I13" s="80"/>
      <c r="J13" s="78"/>
      <c r="K13" s="38"/>
      <c r="L13" s="35"/>
      <c r="M13" s="76"/>
      <c r="N13" s="80"/>
    </row>
    <row r="14">
      <c r="C14" s="75">
        <f t="shared" si="4"/>
        <v>0.7775014491</v>
      </c>
      <c r="D14" s="75">
        <f t="shared" si="5"/>
        <v>3</v>
      </c>
      <c r="E14" s="75">
        <f t="shared" si="6"/>
        <v>1</v>
      </c>
      <c r="F14" s="38"/>
      <c r="G14" s="35"/>
      <c r="H14" s="76"/>
      <c r="I14" s="80"/>
      <c r="J14" s="78"/>
      <c r="K14" s="38"/>
      <c r="L14" s="35"/>
      <c r="M14" s="76"/>
      <c r="N14" s="80"/>
    </row>
    <row r="15">
      <c r="A15" s="83"/>
      <c r="C15" s="75">
        <f t="shared" si="4"/>
        <v>0.0292258779</v>
      </c>
      <c r="D15" s="75">
        <f t="shared" si="5"/>
        <v>15</v>
      </c>
      <c r="E15" s="75">
        <f t="shared" si="6"/>
        <v>1</v>
      </c>
      <c r="F15" s="38"/>
      <c r="G15" s="35"/>
      <c r="H15" s="76"/>
      <c r="I15" s="80"/>
      <c r="J15" s="78"/>
      <c r="K15" s="38"/>
      <c r="L15" s="35"/>
      <c r="M15" s="76"/>
      <c r="N15" s="80"/>
    </row>
    <row r="16">
      <c r="A16" s="73"/>
      <c r="C16" s="75">
        <f t="shared" si="4"/>
        <v>0.6076575476</v>
      </c>
      <c r="D16" s="75">
        <f t="shared" si="5"/>
        <v>6</v>
      </c>
      <c r="E16" s="75">
        <f t="shared" si="6"/>
        <v>2</v>
      </c>
      <c r="F16" s="38"/>
      <c r="G16" s="35"/>
      <c r="H16" s="76"/>
      <c r="I16" s="80"/>
      <c r="J16" s="78"/>
      <c r="K16" s="38"/>
      <c r="L16" s="35"/>
      <c r="M16" s="76"/>
      <c r="N16" s="80"/>
    </row>
    <row r="17">
      <c r="A17" s="83"/>
      <c r="C17" s="75" t="str">
        <f>IF(ISBLANK(A16), "", RAND())</f>
        <v/>
      </c>
      <c r="D17" s="75" t="str">
        <f>IF(ISBLANK(A16), "", RANK(C17, $C$3:$C31))
</f>
        <v/>
      </c>
      <c r="E17" s="75" t="str">
        <f>IF(ISBLANK(A16), "", MOD(D17-1, $B$3) + 1)
</f>
        <v/>
      </c>
      <c r="F17" s="38"/>
      <c r="G17" s="35"/>
      <c r="H17" s="76"/>
      <c r="I17" s="80"/>
      <c r="J17" s="78"/>
      <c r="K17" s="38"/>
      <c r="L17" s="35"/>
      <c r="M17" s="76"/>
      <c r="N17" s="80"/>
    </row>
    <row r="18">
      <c r="C18" s="75">
        <f>IF(ISBLANK(A10), "", RAND())</f>
        <v>0.1127683348</v>
      </c>
      <c r="D18" s="75">
        <f>IF(ISBLANK(A10), "", RANK(C18, $C$3:$C31))
</f>
        <v>13</v>
      </c>
      <c r="E18" s="75">
        <f>IF(ISBLANK(A10), "", MOD(D18-1, $B$3) + 1)
</f>
        <v>1</v>
      </c>
      <c r="F18" s="38"/>
      <c r="G18" s="35"/>
      <c r="H18" s="76"/>
      <c r="I18" s="80"/>
      <c r="J18" s="78"/>
      <c r="K18" s="38"/>
      <c r="L18" s="35"/>
      <c r="M18" s="76"/>
      <c r="N18" s="80"/>
    </row>
    <row r="19">
      <c r="C19" s="75">
        <f>IF(ISBLANK(A7), "", RAND())</f>
        <v>0.6136604293</v>
      </c>
      <c r="D19" s="75">
        <f>IF(ISBLANK(A7), "", RANK(C19, $C$3:$C31))
</f>
        <v>5</v>
      </c>
      <c r="E19" s="75">
        <f>IF(ISBLANK(A7), "", MOD(D19-1, $B$3) + 1)
</f>
        <v>1</v>
      </c>
      <c r="F19" s="38"/>
      <c r="G19" s="35"/>
      <c r="H19" s="76"/>
      <c r="I19" s="80"/>
      <c r="J19" s="78"/>
      <c r="K19" s="38"/>
      <c r="L19" s="35"/>
      <c r="M19" s="76"/>
      <c r="N19" s="80"/>
    </row>
    <row r="20">
      <c r="A20" s="74"/>
      <c r="C20" s="75" t="str">
        <f t="shared" ref="C20:C31" si="7">IF(ISBLANK(A20), "", RAND())</f>
        <v/>
      </c>
      <c r="D20" s="75" t="str">
        <f t="shared" ref="D20:D31" si="8">IF(ISBLANK(A20), "", RANK(C20, $C$3:$C31))
</f>
        <v/>
      </c>
      <c r="E20" s="75" t="str">
        <f t="shared" ref="E20:E31" si="9">IF(ISBLANK(A20), "", MOD(D20-1, $B$3) + 1)
</f>
        <v/>
      </c>
      <c r="F20" s="38"/>
      <c r="G20" s="35"/>
      <c r="H20" s="76"/>
      <c r="I20" s="80"/>
      <c r="J20" s="78"/>
      <c r="K20" s="38"/>
      <c r="L20" s="35"/>
      <c r="M20" s="76"/>
      <c r="N20" s="80"/>
    </row>
    <row r="21">
      <c r="A21" s="74"/>
      <c r="C21" s="75" t="str">
        <f t="shared" si="7"/>
        <v/>
      </c>
      <c r="D21" s="75" t="str">
        <f t="shared" si="8"/>
        <v/>
      </c>
      <c r="E21" s="75" t="str">
        <f t="shared" si="9"/>
        <v/>
      </c>
      <c r="F21" s="38"/>
      <c r="G21" s="35"/>
      <c r="H21" s="76"/>
      <c r="I21" s="80"/>
      <c r="J21" s="78"/>
      <c r="K21" s="38"/>
      <c r="L21" s="35"/>
      <c r="M21" s="76"/>
      <c r="N21" s="80"/>
    </row>
    <row r="22">
      <c r="A22" s="74"/>
      <c r="C22" s="75" t="str">
        <f t="shared" si="7"/>
        <v/>
      </c>
      <c r="D22" s="75" t="str">
        <f t="shared" si="8"/>
        <v/>
      </c>
      <c r="E22" s="75" t="str">
        <f t="shared" si="9"/>
        <v/>
      </c>
      <c r="F22" s="38"/>
      <c r="G22" s="35"/>
      <c r="H22" s="76"/>
      <c r="I22" s="80"/>
      <c r="J22" s="78"/>
      <c r="K22" s="38"/>
      <c r="L22" s="35"/>
      <c r="M22" s="76"/>
      <c r="N22" s="80"/>
    </row>
    <row r="23">
      <c r="A23" s="74"/>
      <c r="C23" s="75" t="str">
        <f t="shared" si="7"/>
        <v/>
      </c>
      <c r="D23" s="75" t="str">
        <f t="shared" si="8"/>
        <v/>
      </c>
      <c r="E23" s="75" t="str">
        <f t="shared" si="9"/>
        <v/>
      </c>
      <c r="F23" s="38"/>
      <c r="G23" s="35"/>
      <c r="H23" s="76"/>
      <c r="I23" s="80"/>
      <c r="J23" s="78"/>
      <c r="K23" s="38"/>
      <c r="L23" s="35"/>
      <c r="M23" s="76"/>
      <c r="N23" s="80"/>
    </row>
    <row r="24">
      <c r="A24" s="74"/>
      <c r="C24" s="75" t="str">
        <f t="shared" si="7"/>
        <v/>
      </c>
      <c r="D24" s="75" t="str">
        <f t="shared" si="8"/>
        <v/>
      </c>
      <c r="E24" s="75" t="str">
        <f t="shared" si="9"/>
        <v/>
      </c>
      <c r="F24" s="38"/>
      <c r="G24" s="35"/>
      <c r="H24" s="76"/>
      <c r="I24" s="80"/>
      <c r="J24" s="78"/>
      <c r="K24" s="38"/>
      <c r="L24" s="35"/>
      <c r="M24" s="76"/>
      <c r="N24" s="80"/>
    </row>
    <row r="25">
      <c r="A25" s="74"/>
      <c r="C25" s="75" t="str">
        <f t="shared" si="7"/>
        <v/>
      </c>
      <c r="D25" s="75" t="str">
        <f t="shared" si="8"/>
        <v/>
      </c>
      <c r="E25" s="75" t="str">
        <f t="shared" si="9"/>
        <v/>
      </c>
      <c r="F25" s="38"/>
      <c r="G25" s="35"/>
      <c r="H25" s="76"/>
      <c r="I25" s="80"/>
      <c r="J25" s="78"/>
      <c r="K25" s="38"/>
      <c r="L25" s="35"/>
      <c r="M25" s="76"/>
      <c r="N25" s="80"/>
    </row>
    <row r="26">
      <c r="A26" s="74"/>
      <c r="C26" s="75" t="str">
        <f t="shared" si="7"/>
        <v/>
      </c>
      <c r="D26" s="75" t="str">
        <f t="shared" si="8"/>
        <v/>
      </c>
      <c r="E26" s="75" t="str">
        <f t="shared" si="9"/>
        <v/>
      </c>
      <c r="F26" s="38"/>
      <c r="G26" s="35"/>
      <c r="H26" s="76"/>
      <c r="I26" s="80"/>
      <c r="J26" s="78"/>
      <c r="K26" s="38"/>
      <c r="L26" s="35"/>
      <c r="M26" s="76"/>
      <c r="N26" s="80"/>
    </row>
    <row r="27">
      <c r="A27" s="74"/>
      <c r="C27" s="75" t="str">
        <f t="shared" si="7"/>
        <v/>
      </c>
      <c r="D27" s="75" t="str">
        <f t="shared" si="8"/>
        <v/>
      </c>
      <c r="E27" s="75" t="str">
        <f t="shared" si="9"/>
        <v/>
      </c>
      <c r="F27" s="38"/>
      <c r="G27" s="35"/>
      <c r="H27" s="76"/>
      <c r="I27" s="80"/>
      <c r="J27" s="78"/>
      <c r="K27" s="38"/>
      <c r="L27" s="35"/>
      <c r="M27" s="76"/>
      <c r="N27" s="80"/>
    </row>
    <row r="28">
      <c r="A28" s="74"/>
      <c r="C28" s="75" t="str">
        <f t="shared" si="7"/>
        <v/>
      </c>
      <c r="D28" s="75" t="str">
        <f t="shared" si="8"/>
        <v/>
      </c>
      <c r="E28" s="75" t="str">
        <f t="shared" si="9"/>
        <v/>
      </c>
      <c r="F28" s="38"/>
      <c r="G28" s="35"/>
      <c r="H28" s="76"/>
      <c r="I28" s="80"/>
      <c r="J28" s="78"/>
      <c r="K28" s="38"/>
      <c r="L28" s="35"/>
      <c r="M28" s="76"/>
      <c r="N28" s="80"/>
    </row>
    <row r="29">
      <c r="A29" s="74"/>
      <c r="C29" s="75" t="str">
        <f t="shared" si="7"/>
        <v/>
      </c>
      <c r="D29" s="75" t="str">
        <f t="shared" si="8"/>
        <v/>
      </c>
      <c r="E29" s="75" t="str">
        <f t="shared" si="9"/>
        <v/>
      </c>
      <c r="F29" s="38"/>
      <c r="G29" s="35"/>
      <c r="H29" s="76"/>
      <c r="I29" s="80"/>
      <c r="J29" s="78"/>
      <c r="K29" s="38"/>
      <c r="L29" s="35"/>
      <c r="M29" s="76"/>
      <c r="N29" s="80"/>
    </row>
    <row r="30">
      <c r="A30" s="74"/>
      <c r="C30" s="75" t="str">
        <f t="shared" si="7"/>
        <v/>
      </c>
      <c r="D30" s="75" t="str">
        <f t="shared" si="8"/>
        <v/>
      </c>
      <c r="E30" s="75" t="str">
        <f t="shared" si="9"/>
        <v/>
      </c>
      <c r="F30" s="38"/>
      <c r="G30" s="35"/>
      <c r="H30" s="76"/>
      <c r="I30" s="80"/>
      <c r="J30" s="78"/>
      <c r="K30" s="38"/>
      <c r="L30" s="35"/>
      <c r="M30" s="76"/>
      <c r="N30" s="80"/>
    </row>
    <row r="31">
      <c r="A31" s="74"/>
      <c r="C31" s="75" t="str">
        <f t="shared" si="7"/>
        <v/>
      </c>
      <c r="D31" s="75" t="str">
        <f t="shared" si="8"/>
        <v/>
      </c>
      <c r="E31" s="75" t="str">
        <f t="shared" si="9"/>
        <v/>
      </c>
      <c r="F31" s="38"/>
      <c r="G31" s="35"/>
      <c r="H31" s="76"/>
      <c r="I31" s="80"/>
      <c r="J31" s="78"/>
      <c r="K31" s="38"/>
      <c r="L31" s="35"/>
      <c r="M31" s="76"/>
      <c r="N31" s="80"/>
    </row>
  </sheetData>
  <mergeCells count="2">
    <mergeCell ref="A2:B2"/>
    <mergeCell ref="B4:B31"/>
  </mergeCells>
  <conditionalFormatting sqref="A2:A31">
    <cfRule type="expression" dxfId="0" priority="1">
      <formula>COUNTIF($A$3:$A31, A2) &gt; 1</formula>
    </cfRule>
  </conditionalFormatting>
  <dataValidations>
    <dataValidation type="list" allowBlank="1" showErrorMessage="1" sqref="B3">
      <formula1>"2,3,4"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4.38"/>
    <col customWidth="1" min="3" max="3" width="1.88"/>
    <col customWidth="1" min="4" max="4" width="4.38"/>
    <col customWidth="1" min="5" max="5" width="5.38"/>
    <col customWidth="1" hidden="1" min="6" max="7" width="10.13"/>
    <col customWidth="1" min="8" max="8" width="12.63"/>
    <col customWidth="1" min="9" max="10" width="8.25"/>
    <col customWidth="1" hidden="1" min="11" max="12" width="8.25"/>
    <col customWidth="1" min="13" max="13" width="12.63"/>
    <col customWidth="1" min="14" max="17" width="8.25"/>
    <col customWidth="1" min="18" max="18" width="7.38"/>
    <col customWidth="1" min="19" max="19" width="12.63"/>
    <col customWidth="1" min="20" max="28" width="8.25"/>
  </cols>
  <sheetData>
    <row r="1">
      <c r="A1" s="1" t="s">
        <v>0</v>
      </c>
    </row>
    <row r="2">
      <c r="A2" s="2" t="s">
        <v>1</v>
      </c>
      <c r="H2" s="3" t="s">
        <v>2</v>
      </c>
      <c r="I2" s="3" t="s">
        <v>3</v>
      </c>
      <c r="J2" s="3" t="s">
        <v>4</v>
      </c>
      <c r="K2" s="3"/>
      <c r="L2" s="3"/>
      <c r="M2" s="4" t="s">
        <v>5</v>
      </c>
      <c r="N2" s="4" t="s">
        <v>3</v>
      </c>
      <c r="O2" s="4" t="s">
        <v>4</v>
      </c>
      <c r="P2" s="4"/>
      <c r="Q2" s="4"/>
      <c r="R2" s="7" t="s">
        <v>8</v>
      </c>
      <c r="T2" s="7" t="s">
        <v>3</v>
      </c>
      <c r="U2" s="7" t="s">
        <v>4</v>
      </c>
      <c r="V2" s="7"/>
      <c r="W2" s="7"/>
      <c r="X2" s="7"/>
      <c r="Y2" s="7"/>
      <c r="Z2" s="7"/>
      <c r="AA2" s="7"/>
      <c r="AB2" s="7"/>
    </row>
    <row r="3" ht="1.5" customHeight="1">
      <c r="A3" s="8" t="s">
        <v>9</v>
      </c>
      <c r="B3" s="8" t="s">
        <v>10</v>
      </c>
      <c r="E3" s="8" t="s">
        <v>11</v>
      </c>
      <c r="F3" s="8" t="s">
        <v>12</v>
      </c>
      <c r="G3" s="8" t="s">
        <v>13</v>
      </c>
      <c r="H3" s="9" t="s">
        <v>14</v>
      </c>
      <c r="I3" s="9" t="s">
        <v>3</v>
      </c>
      <c r="J3" s="9" t="s">
        <v>4</v>
      </c>
      <c r="K3" s="9" t="s">
        <v>15</v>
      </c>
      <c r="L3" s="9" t="s">
        <v>16</v>
      </c>
      <c r="M3" s="10" t="s">
        <v>14</v>
      </c>
      <c r="N3" s="10" t="s">
        <v>3</v>
      </c>
      <c r="O3" s="10" t="s">
        <v>4</v>
      </c>
      <c r="P3" s="10" t="s">
        <v>15</v>
      </c>
      <c r="Q3" s="10" t="s">
        <v>16</v>
      </c>
      <c r="R3" s="13" t="s">
        <v>14</v>
      </c>
      <c r="T3" s="13" t="s">
        <v>3</v>
      </c>
      <c r="U3" s="13" t="s">
        <v>4</v>
      </c>
      <c r="V3" s="13" t="s">
        <v>15</v>
      </c>
      <c r="W3" s="13" t="s">
        <v>16</v>
      </c>
      <c r="X3" s="13" t="s">
        <v>17</v>
      </c>
      <c r="Y3" s="13"/>
      <c r="Z3" s="13"/>
      <c r="AA3" s="13" t="s">
        <v>18</v>
      </c>
      <c r="AB3" s="13" t="s">
        <v>19</v>
      </c>
    </row>
    <row r="4">
      <c r="A4" s="14" t="s">
        <v>20</v>
      </c>
      <c r="F4" s="14"/>
      <c r="G4" s="14"/>
      <c r="H4" s="15" t="str">
        <f>A4</f>
        <v>Gameweek 1</v>
      </c>
      <c r="K4" s="15" t="s">
        <v>21</v>
      </c>
      <c r="L4" s="15" t="s">
        <v>22</v>
      </c>
      <c r="M4" s="16" t="s">
        <v>20</v>
      </c>
      <c r="P4" s="16" t="s">
        <v>21</v>
      </c>
      <c r="Q4" s="16" t="s">
        <v>22</v>
      </c>
      <c r="R4" s="19" t="str">
        <f>A4</f>
        <v>Gameweek 1</v>
      </c>
      <c r="V4" s="19" t="s">
        <v>21</v>
      </c>
      <c r="W4" s="19" t="s">
        <v>22</v>
      </c>
      <c r="X4" s="19" t="s">
        <v>17</v>
      </c>
      <c r="Y4" s="19" t="s">
        <v>23</v>
      </c>
    </row>
    <row r="5">
      <c r="A5" s="20" t="s">
        <v>96</v>
      </c>
      <c r="B5" s="8">
        <v>3.0</v>
      </c>
      <c r="C5" s="8" t="str">
        <f t="shared" ref="C5:C7" si="1">IF(ISBLANK(A5), "", "-")
</f>
        <v>-</v>
      </c>
      <c r="D5" s="8">
        <v>1.0</v>
      </c>
      <c r="E5" s="21" t="s">
        <v>97</v>
      </c>
      <c r="F5" s="22" t="str">
        <f t="shared" ref="F5:F23" si="2">IF(AND(B5 &lt;&gt; "", D5 &lt;&gt; ""), IF(B5 &gt; D5, A5, IF(D5 &gt; B5, E5, "Oavgjort")), "")</f>
        <v>VSK</v>
      </c>
      <c r="G5" s="22" t="str">
        <f t="shared" ref="G5:G23" si="3">IF(AND(B5 &lt;&gt; "", D5 &lt;&gt; ""), IF(B5 &lt; D5, A5, IF(D5 &lt; B5, E5, "Oavgjort")), "")
</f>
        <v>TBK</v>
      </c>
      <c r="H5" s="23" t="s">
        <v>24</v>
      </c>
      <c r="I5" s="9">
        <v>0.0</v>
      </c>
      <c r="J5" s="9">
        <v>2.0</v>
      </c>
      <c r="K5" s="24">
        <f t="array" ref="K5:K22">IF(SEQUENCE(18, 1), COUNTIF(F5:F22, $H$2))
</f>
        <v>0</v>
      </c>
      <c r="L5" s="24">
        <f t="array" ref="L5:L22">IF(SEQUENCE(18, 1), COUNTIF(G5:G22, $H$2))
</f>
        <v>0</v>
      </c>
      <c r="M5" s="25"/>
      <c r="N5" s="10">
        <v>0.0</v>
      </c>
      <c r="O5" s="10">
        <v>0.0</v>
      </c>
      <c r="P5" s="26">
        <f t="array" ref="P5:P22">IF(SEQUENCE(18, 1), COUNTIF(F5:F22, $M$2))
</f>
        <v>0</v>
      </c>
      <c r="Q5" s="26">
        <f t="array" ref="Q5:Q22">IF(SEQUENCE(18, 1), COUNTIF(G5:G22, $M$2))
</f>
        <v>0</v>
      </c>
      <c r="R5" s="32" t="s">
        <v>9</v>
      </c>
      <c r="S5" s="32" t="s">
        <v>27</v>
      </c>
      <c r="T5" s="13">
        <v>0.0</v>
      </c>
      <c r="U5" s="13">
        <v>0.0</v>
      </c>
      <c r="V5" s="13">
        <f>IF(R5 = "Borta", Z5, (IF(R5 = "Hemma", Y5, 0)))</f>
        <v>18</v>
      </c>
      <c r="W5" s="13">
        <v>5.0</v>
      </c>
      <c r="X5" s="33">
        <f t="shared" ref="X5:X24" si="4">IF(R5 = "Borta", AA5, (IF(R5 = "Hemma", AB5, 0)))</f>
        <v>1</v>
      </c>
      <c r="Y5" s="33">
        <f t="array" ref="Y5:Y22">IF(F5 &lt;&gt; "",
     SEQUENCE(18,1,1,0)*SUM(IF(A5:A22 = F5:F22, 1, 0)),
     SEQUENCE(18,1,0,0)
  )</f>
        <v>18</v>
      </c>
      <c r="Z5" s="33">
        <f t="array" ref="Z5:Z22">IF(G5 &lt;&gt; "",
     SEQUENCE(18,1,1,0)*SUM(IF(E5:E22 = F5:F22, 1, 0)),
     SEQUENCE(18,1,0,0)
  )</f>
        <v>14</v>
      </c>
      <c r="AA5" s="33">
        <f t="array" ref="AA5:AA22">IF(SEQUENCE(18, 1), COUNTIF(B5:B22, 0))</f>
        <v>0</v>
      </c>
      <c r="AB5" s="33">
        <f t="array" ref="AB5:AB22">IF(SEQUENCE(18, 1), COUNTIF(D5:D22, 0))</f>
        <v>1</v>
      </c>
    </row>
    <row r="6">
      <c r="A6" s="20" t="s">
        <v>96</v>
      </c>
      <c r="B6" s="8">
        <v>2.0</v>
      </c>
      <c r="C6" s="8" t="str">
        <f t="shared" si="1"/>
        <v>-</v>
      </c>
      <c r="D6" s="8">
        <v>0.0</v>
      </c>
      <c r="E6" s="21" t="s">
        <v>97</v>
      </c>
      <c r="F6" s="22" t="str">
        <f t="shared" si="2"/>
        <v>VSK</v>
      </c>
      <c r="G6" s="22" t="str">
        <f t="shared" si="3"/>
        <v>TBK</v>
      </c>
      <c r="H6" s="23" t="s">
        <v>33</v>
      </c>
      <c r="I6" s="9">
        <v>1.0</v>
      </c>
      <c r="J6" s="9">
        <v>0.0</v>
      </c>
      <c r="K6" s="24">
        <v>0.0</v>
      </c>
      <c r="L6" s="24">
        <v>0.0</v>
      </c>
      <c r="M6" s="25"/>
      <c r="N6" s="10">
        <v>0.0</v>
      </c>
      <c r="O6" s="10">
        <v>0.0</v>
      </c>
      <c r="P6" s="26">
        <v>0.0</v>
      </c>
      <c r="Q6" s="26">
        <v>0.0</v>
      </c>
      <c r="R6" s="32" t="s">
        <v>9</v>
      </c>
      <c r="S6" s="32" t="s">
        <v>30</v>
      </c>
      <c r="T6" s="13">
        <v>0.0</v>
      </c>
      <c r="U6" s="13">
        <v>1.0</v>
      </c>
      <c r="V6" s="13">
        <v>5.0</v>
      </c>
      <c r="W6" s="33">
        <f t="shared" ref="W6:W24" si="5">IF(R6 = "Hemma", Z6, (IF(R6 = "Borta", Y6, 0)))</f>
        <v>14</v>
      </c>
      <c r="X6" s="33">
        <f t="shared" si="4"/>
        <v>1</v>
      </c>
      <c r="Y6" s="33">
        <v>18.0</v>
      </c>
      <c r="Z6" s="33">
        <v>14.0</v>
      </c>
      <c r="AA6" s="33">
        <v>0.0</v>
      </c>
      <c r="AB6" s="33">
        <v>1.0</v>
      </c>
    </row>
    <row r="7">
      <c r="A7" s="20" t="s">
        <v>96</v>
      </c>
      <c r="B7" s="8">
        <v>3.0</v>
      </c>
      <c r="C7" s="8" t="str">
        <f t="shared" si="1"/>
        <v>-</v>
      </c>
      <c r="D7" s="8">
        <v>1.0</v>
      </c>
      <c r="E7" s="21" t="s">
        <v>97</v>
      </c>
      <c r="F7" s="22" t="str">
        <f t="shared" si="2"/>
        <v>VSK</v>
      </c>
      <c r="G7" s="22" t="str">
        <f t="shared" si="3"/>
        <v>TBK</v>
      </c>
      <c r="H7" s="23" t="s">
        <v>53</v>
      </c>
      <c r="I7" s="9">
        <v>1.0</v>
      </c>
      <c r="J7" s="9">
        <v>1.0</v>
      </c>
      <c r="K7" s="24">
        <v>0.0</v>
      </c>
      <c r="L7" s="24">
        <v>0.0</v>
      </c>
      <c r="M7" s="25"/>
      <c r="N7" s="10">
        <v>0.0</v>
      </c>
      <c r="O7" s="10">
        <v>0.0</v>
      </c>
      <c r="P7" s="26">
        <v>0.0</v>
      </c>
      <c r="Q7" s="26">
        <v>0.0</v>
      </c>
      <c r="R7" s="32"/>
      <c r="V7" s="13">
        <f t="shared" ref="V7:V24" si="6">IF(R7 = "Borta", Z7, (IF(R7 = "Hemma", Y7, 0)))</f>
        <v>0</v>
      </c>
      <c r="W7" s="33">
        <f t="shared" si="5"/>
        <v>0</v>
      </c>
      <c r="X7" s="33">
        <f t="shared" si="4"/>
        <v>0</v>
      </c>
      <c r="Y7" s="33">
        <v>18.0</v>
      </c>
      <c r="Z7" s="33">
        <v>14.0</v>
      </c>
      <c r="AA7" s="33">
        <v>0.0</v>
      </c>
      <c r="AB7" s="33">
        <v>1.0</v>
      </c>
    </row>
    <row r="8">
      <c r="A8" s="20" t="s">
        <v>96</v>
      </c>
      <c r="B8" s="8">
        <v>5.0</v>
      </c>
      <c r="C8" s="8" t="s">
        <v>48</v>
      </c>
      <c r="D8" s="8">
        <v>2.0</v>
      </c>
      <c r="E8" s="21" t="s">
        <v>97</v>
      </c>
      <c r="F8" s="22" t="str">
        <f t="shared" si="2"/>
        <v>VSK</v>
      </c>
      <c r="G8" s="22" t="str">
        <f t="shared" si="3"/>
        <v>TBK</v>
      </c>
      <c r="H8" s="23" t="s">
        <v>34</v>
      </c>
      <c r="I8" s="9">
        <v>0.0</v>
      </c>
      <c r="J8" s="9">
        <v>0.0</v>
      </c>
      <c r="K8" s="24">
        <v>0.0</v>
      </c>
      <c r="L8" s="24">
        <v>0.0</v>
      </c>
      <c r="M8" s="25"/>
      <c r="N8" s="10">
        <v>2.0</v>
      </c>
      <c r="O8" s="10">
        <v>1.0</v>
      </c>
      <c r="P8" s="26">
        <v>0.0</v>
      </c>
      <c r="Q8" s="26">
        <v>0.0</v>
      </c>
      <c r="V8" s="13">
        <f t="shared" si="6"/>
        <v>0</v>
      </c>
      <c r="W8" s="33">
        <f t="shared" si="5"/>
        <v>0</v>
      </c>
      <c r="X8" s="33">
        <f t="shared" si="4"/>
        <v>0</v>
      </c>
      <c r="Y8" s="33">
        <v>18.0</v>
      </c>
      <c r="Z8" s="33">
        <v>14.0</v>
      </c>
      <c r="AA8" s="33">
        <v>0.0</v>
      </c>
      <c r="AB8" s="33">
        <v>1.0</v>
      </c>
    </row>
    <row r="9">
      <c r="A9" s="20"/>
      <c r="B9" s="8"/>
      <c r="C9" s="8"/>
      <c r="D9" s="8"/>
      <c r="E9" s="21"/>
      <c r="F9" s="22" t="str">
        <f t="shared" si="2"/>
        <v/>
      </c>
      <c r="G9" s="22" t="str">
        <f t="shared" si="3"/>
        <v/>
      </c>
      <c r="H9" s="23" t="s">
        <v>60</v>
      </c>
      <c r="I9" s="9">
        <v>0.0</v>
      </c>
      <c r="J9" s="9">
        <v>1.0</v>
      </c>
      <c r="K9" s="24">
        <v>0.0</v>
      </c>
      <c r="L9" s="24">
        <v>0.0</v>
      </c>
      <c r="M9" s="25"/>
      <c r="N9" s="10">
        <v>0.0</v>
      </c>
      <c r="O9" s="10">
        <v>0.0</v>
      </c>
      <c r="P9" s="26">
        <v>0.0</v>
      </c>
      <c r="Q9" s="26">
        <v>0.0</v>
      </c>
      <c r="V9" s="13">
        <f t="shared" si="6"/>
        <v>0</v>
      </c>
      <c r="W9" s="33">
        <f t="shared" si="5"/>
        <v>0</v>
      </c>
      <c r="X9" s="33">
        <f t="shared" si="4"/>
        <v>0</v>
      </c>
      <c r="Y9" s="33">
        <v>18.0</v>
      </c>
      <c r="Z9" s="33">
        <v>14.0</v>
      </c>
      <c r="AA9" s="33">
        <v>0.0</v>
      </c>
      <c r="AB9" s="33">
        <v>1.0</v>
      </c>
    </row>
    <row r="10">
      <c r="A10" s="20"/>
      <c r="B10" s="8"/>
      <c r="C10" s="8"/>
      <c r="D10" s="8"/>
      <c r="E10" s="21"/>
      <c r="F10" s="22" t="str">
        <f t="shared" si="2"/>
        <v/>
      </c>
      <c r="G10" s="22" t="str">
        <f t="shared" si="3"/>
        <v/>
      </c>
      <c r="H10" s="23" t="s">
        <v>25</v>
      </c>
      <c r="I10" s="9">
        <v>0.0</v>
      </c>
      <c r="J10" s="9">
        <v>0.0</v>
      </c>
      <c r="K10" s="24">
        <v>0.0</v>
      </c>
      <c r="L10" s="24">
        <v>0.0</v>
      </c>
      <c r="M10" s="25"/>
      <c r="N10" s="10">
        <v>0.0</v>
      </c>
      <c r="O10" s="10">
        <v>0.0</v>
      </c>
      <c r="P10" s="26">
        <v>0.0</v>
      </c>
      <c r="Q10" s="26">
        <v>0.0</v>
      </c>
      <c r="V10" s="13">
        <f t="shared" si="6"/>
        <v>0</v>
      </c>
      <c r="W10" s="33">
        <f t="shared" si="5"/>
        <v>0</v>
      </c>
      <c r="X10" s="33">
        <f t="shared" si="4"/>
        <v>0</v>
      </c>
      <c r="Y10" s="33">
        <v>18.0</v>
      </c>
      <c r="Z10" s="33">
        <v>14.0</v>
      </c>
      <c r="AA10" s="33">
        <v>0.0</v>
      </c>
      <c r="AB10" s="33">
        <v>1.0</v>
      </c>
    </row>
    <row r="11">
      <c r="A11" s="20"/>
      <c r="B11" s="8"/>
      <c r="C11" s="8"/>
      <c r="D11" s="8"/>
      <c r="E11" s="21"/>
      <c r="F11" s="22" t="str">
        <f t="shared" si="2"/>
        <v/>
      </c>
      <c r="G11" s="22" t="str">
        <f t="shared" si="3"/>
        <v/>
      </c>
      <c r="H11" s="23" t="s">
        <v>98</v>
      </c>
      <c r="I11" s="9">
        <v>2.0</v>
      </c>
      <c r="J11" s="9">
        <v>1.0</v>
      </c>
      <c r="K11" s="24">
        <v>0.0</v>
      </c>
      <c r="L11" s="24">
        <v>0.0</v>
      </c>
      <c r="M11" s="25"/>
      <c r="N11" s="10">
        <v>0.0</v>
      </c>
      <c r="O11" s="10">
        <v>0.0</v>
      </c>
      <c r="P11" s="26">
        <v>0.0</v>
      </c>
      <c r="Q11" s="26">
        <v>0.0</v>
      </c>
      <c r="V11" s="13">
        <f t="shared" si="6"/>
        <v>0</v>
      </c>
      <c r="W11" s="33">
        <f t="shared" si="5"/>
        <v>0</v>
      </c>
      <c r="X11" s="33">
        <f t="shared" si="4"/>
        <v>0</v>
      </c>
      <c r="Y11" s="33">
        <v>18.0</v>
      </c>
      <c r="Z11" s="33">
        <v>14.0</v>
      </c>
      <c r="AA11" s="33">
        <v>0.0</v>
      </c>
      <c r="AB11" s="33">
        <v>1.0</v>
      </c>
    </row>
    <row r="12">
      <c r="A12" s="20"/>
      <c r="B12" s="8"/>
      <c r="C12" s="8"/>
      <c r="D12" s="8"/>
      <c r="E12" s="21"/>
      <c r="F12" s="22" t="str">
        <f t="shared" si="2"/>
        <v/>
      </c>
      <c r="G12" s="22" t="str">
        <f t="shared" si="3"/>
        <v/>
      </c>
      <c r="H12" s="23" t="s">
        <v>35</v>
      </c>
      <c r="I12" s="9">
        <v>3.0</v>
      </c>
      <c r="J12" s="9">
        <v>3.0</v>
      </c>
      <c r="K12" s="24">
        <v>0.0</v>
      </c>
      <c r="L12" s="24">
        <v>0.0</v>
      </c>
      <c r="M12" s="25"/>
      <c r="N12" s="10">
        <v>0.0</v>
      </c>
      <c r="O12" s="10">
        <v>0.0</v>
      </c>
      <c r="P12" s="26">
        <v>0.0</v>
      </c>
      <c r="Q12" s="26">
        <v>0.0</v>
      </c>
      <c r="V12" s="13">
        <f t="shared" si="6"/>
        <v>0</v>
      </c>
      <c r="W12" s="33">
        <f t="shared" si="5"/>
        <v>0</v>
      </c>
      <c r="X12" s="33">
        <f t="shared" si="4"/>
        <v>0</v>
      </c>
      <c r="Y12" s="33">
        <v>18.0</v>
      </c>
      <c r="Z12" s="33">
        <v>14.0</v>
      </c>
      <c r="AA12" s="33">
        <v>0.0</v>
      </c>
      <c r="AB12" s="33">
        <v>1.0</v>
      </c>
    </row>
    <row r="13">
      <c r="A13" s="20"/>
      <c r="B13" s="8"/>
      <c r="C13" s="8"/>
      <c r="D13" s="8"/>
      <c r="E13" s="21"/>
      <c r="F13" s="22" t="str">
        <f t="shared" si="2"/>
        <v/>
      </c>
      <c r="G13" s="22" t="str">
        <f t="shared" si="3"/>
        <v/>
      </c>
      <c r="H13" s="23" t="s">
        <v>99</v>
      </c>
      <c r="I13" s="9">
        <v>0.0</v>
      </c>
      <c r="J13" s="9">
        <v>1.0</v>
      </c>
      <c r="K13" s="24">
        <v>0.0</v>
      </c>
      <c r="L13" s="24">
        <v>0.0</v>
      </c>
      <c r="M13" s="25"/>
      <c r="N13" s="10">
        <v>0.0</v>
      </c>
      <c r="O13" s="10">
        <v>0.0</v>
      </c>
      <c r="P13" s="26">
        <v>0.0</v>
      </c>
      <c r="Q13" s="26">
        <v>0.0</v>
      </c>
      <c r="V13" s="13">
        <f t="shared" si="6"/>
        <v>0</v>
      </c>
      <c r="W13" s="33">
        <f t="shared" si="5"/>
        <v>0</v>
      </c>
      <c r="X13" s="33">
        <f t="shared" si="4"/>
        <v>0</v>
      </c>
      <c r="Y13" s="33">
        <v>18.0</v>
      </c>
      <c r="Z13" s="33">
        <v>14.0</v>
      </c>
      <c r="AA13" s="33">
        <v>0.0</v>
      </c>
      <c r="AB13" s="33">
        <v>1.0</v>
      </c>
    </row>
    <row r="14">
      <c r="A14" s="20"/>
      <c r="B14" s="8"/>
      <c r="C14" s="8"/>
      <c r="D14" s="8"/>
      <c r="E14" s="21"/>
      <c r="F14" s="22" t="str">
        <f t="shared" si="2"/>
        <v/>
      </c>
      <c r="G14" s="22" t="str">
        <f t="shared" si="3"/>
        <v/>
      </c>
      <c r="H14" s="23" t="s">
        <v>57</v>
      </c>
      <c r="I14" s="9">
        <v>0.0</v>
      </c>
      <c r="J14" s="9">
        <v>2.0</v>
      </c>
      <c r="K14" s="24">
        <v>0.0</v>
      </c>
      <c r="L14" s="24">
        <v>0.0</v>
      </c>
      <c r="M14" s="25"/>
      <c r="N14" s="10">
        <v>0.0</v>
      </c>
      <c r="O14" s="10">
        <v>0.0</v>
      </c>
      <c r="P14" s="26">
        <v>0.0</v>
      </c>
      <c r="Q14" s="26">
        <v>0.0</v>
      </c>
      <c r="V14" s="13">
        <f t="shared" si="6"/>
        <v>0</v>
      </c>
      <c r="W14" s="33">
        <f t="shared" si="5"/>
        <v>0</v>
      </c>
      <c r="X14" s="33">
        <f t="shared" si="4"/>
        <v>0</v>
      </c>
      <c r="Y14" s="33">
        <v>18.0</v>
      </c>
      <c r="Z14" s="33">
        <v>14.0</v>
      </c>
      <c r="AA14" s="33">
        <v>0.0</v>
      </c>
      <c r="AB14" s="33">
        <v>1.0</v>
      </c>
    </row>
    <row r="15">
      <c r="A15" s="20"/>
      <c r="B15" s="8"/>
      <c r="C15" s="8"/>
      <c r="D15" s="8"/>
      <c r="E15" s="21"/>
      <c r="F15" s="22" t="str">
        <f t="shared" si="2"/>
        <v/>
      </c>
      <c r="G15" s="22" t="str">
        <f t="shared" si="3"/>
        <v/>
      </c>
      <c r="H15" s="23" t="s">
        <v>39</v>
      </c>
      <c r="I15" s="9">
        <v>2.0</v>
      </c>
      <c r="J15" s="9">
        <v>0.0</v>
      </c>
      <c r="K15" s="24">
        <v>0.0</v>
      </c>
      <c r="L15" s="24">
        <v>0.0</v>
      </c>
      <c r="M15" s="25"/>
      <c r="N15" s="10">
        <v>0.0</v>
      </c>
      <c r="O15" s="10">
        <v>0.0</v>
      </c>
      <c r="P15" s="26">
        <v>0.0</v>
      </c>
      <c r="Q15" s="26">
        <v>0.0</v>
      </c>
      <c r="V15" s="13">
        <f t="shared" si="6"/>
        <v>0</v>
      </c>
      <c r="W15" s="33">
        <f t="shared" si="5"/>
        <v>0</v>
      </c>
      <c r="X15" s="33">
        <f t="shared" si="4"/>
        <v>0</v>
      </c>
      <c r="Y15" s="33">
        <v>18.0</v>
      </c>
      <c r="Z15" s="33">
        <v>14.0</v>
      </c>
      <c r="AA15" s="33">
        <v>0.0</v>
      </c>
      <c r="AB15" s="33">
        <v>1.0</v>
      </c>
    </row>
    <row r="16">
      <c r="A16" s="20"/>
      <c r="B16" s="8"/>
      <c r="C16" s="8"/>
      <c r="D16" s="8"/>
      <c r="E16" s="21"/>
      <c r="F16" s="22" t="str">
        <f t="shared" si="2"/>
        <v/>
      </c>
      <c r="G16" s="22" t="str">
        <f t="shared" si="3"/>
        <v/>
      </c>
      <c r="H16" s="23" t="s">
        <v>58</v>
      </c>
      <c r="I16" s="9">
        <v>1.0</v>
      </c>
      <c r="J16" s="9">
        <v>1.0</v>
      </c>
      <c r="K16" s="24">
        <v>0.0</v>
      </c>
      <c r="L16" s="24">
        <v>0.0</v>
      </c>
      <c r="M16" s="25"/>
      <c r="N16" s="10">
        <v>0.0</v>
      </c>
      <c r="O16" s="10">
        <v>0.0</v>
      </c>
      <c r="P16" s="26">
        <v>0.0</v>
      </c>
      <c r="Q16" s="26">
        <v>0.0</v>
      </c>
      <c r="V16" s="13">
        <f t="shared" si="6"/>
        <v>0</v>
      </c>
      <c r="W16" s="33">
        <f t="shared" si="5"/>
        <v>0</v>
      </c>
      <c r="X16" s="33">
        <f t="shared" si="4"/>
        <v>0</v>
      </c>
      <c r="Y16" s="33">
        <v>18.0</v>
      </c>
      <c r="Z16" s="33">
        <v>14.0</v>
      </c>
      <c r="AA16" s="33">
        <v>0.0</v>
      </c>
      <c r="AB16" s="33">
        <v>1.0</v>
      </c>
    </row>
    <row r="17">
      <c r="A17" s="20"/>
      <c r="B17" s="8"/>
      <c r="C17" s="8"/>
      <c r="D17" s="8"/>
      <c r="E17" s="21"/>
      <c r="F17" s="22" t="str">
        <f t="shared" si="2"/>
        <v/>
      </c>
      <c r="G17" s="22" t="str">
        <f t="shared" si="3"/>
        <v/>
      </c>
      <c r="H17" s="23" t="s">
        <v>55</v>
      </c>
      <c r="I17" s="9">
        <v>2.0</v>
      </c>
      <c r="J17" s="9">
        <v>0.0</v>
      </c>
      <c r="K17" s="24">
        <v>0.0</v>
      </c>
      <c r="L17" s="24">
        <v>0.0</v>
      </c>
      <c r="M17" s="25"/>
      <c r="N17" s="10">
        <v>0.0</v>
      </c>
      <c r="O17" s="10">
        <v>0.0</v>
      </c>
      <c r="P17" s="26">
        <v>0.0</v>
      </c>
      <c r="Q17" s="26">
        <v>0.0</v>
      </c>
      <c r="V17" s="13">
        <f t="shared" si="6"/>
        <v>0</v>
      </c>
      <c r="W17" s="33">
        <f t="shared" si="5"/>
        <v>0</v>
      </c>
      <c r="X17" s="33">
        <f t="shared" si="4"/>
        <v>0</v>
      </c>
      <c r="Y17" s="33">
        <v>18.0</v>
      </c>
      <c r="Z17" s="33">
        <v>14.0</v>
      </c>
      <c r="AA17" s="33">
        <v>0.0</v>
      </c>
      <c r="AB17" s="33">
        <v>1.0</v>
      </c>
    </row>
    <row r="18">
      <c r="A18" s="20"/>
      <c r="B18" s="8"/>
      <c r="C18" s="8"/>
      <c r="D18" s="8"/>
      <c r="E18" s="21"/>
      <c r="F18" s="22" t="str">
        <f t="shared" si="2"/>
        <v/>
      </c>
      <c r="G18" s="22" t="str">
        <f t="shared" si="3"/>
        <v/>
      </c>
      <c r="H18" s="23"/>
      <c r="I18" s="9">
        <v>0.0</v>
      </c>
      <c r="J18" s="9">
        <v>0.0</v>
      </c>
      <c r="K18" s="24">
        <v>0.0</v>
      </c>
      <c r="L18" s="24">
        <v>0.0</v>
      </c>
      <c r="M18" s="25"/>
      <c r="N18" s="10">
        <v>0.0</v>
      </c>
      <c r="O18" s="10">
        <v>0.0</v>
      </c>
      <c r="P18" s="26">
        <v>0.0</v>
      </c>
      <c r="Q18" s="26">
        <v>0.0</v>
      </c>
      <c r="V18" s="13">
        <f t="shared" si="6"/>
        <v>0</v>
      </c>
      <c r="W18" s="33">
        <f t="shared" si="5"/>
        <v>0</v>
      </c>
      <c r="X18" s="33">
        <f t="shared" si="4"/>
        <v>0</v>
      </c>
      <c r="Y18" s="33">
        <v>18.0</v>
      </c>
      <c r="Z18" s="33">
        <v>14.0</v>
      </c>
      <c r="AA18" s="33">
        <v>0.0</v>
      </c>
      <c r="AB18" s="33">
        <v>1.0</v>
      </c>
    </row>
    <row r="19">
      <c r="A19" s="20"/>
      <c r="B19" s="8"/>
      <c r="C19" s="8"/>
      <c r="D19" s="8"/>
      <c r="E19" s="21"/>
      <c r="F19" s="22" t="str">
        <f t="shared" si="2"/>
        <v/>
      </c>
      <c r="G19" s="22" t="str">
        <f t="shared" si="3"/>
        <v/>
      </c>
      <c r="H19" s="23"/>
      <c r="I19" s="9">
        <v>0.0</v>
      </c>
      <c r="J19" s="9">
        <v>0.0</v>
      </c>
      <c r="K19" s="24">
        <v>0.0</v>
      </c>
      <c r="L19" s="24">
        <v>0.0</v>
      </c>
      <c r="M19" s="25"/>
      <c r="N19" s="10">
        <v>0.0</v>
      </c>
      <c r="O19" s="10">
        <v>0.0</v>
      </c>
      <c r="P19" s="26">
        <v>0.0</v>
      </c>
      <c r="Q19" s="26">
        <v>0.0</v>
      </c>
      <c r="V19" s="13">
        <f t="shared" si="6"/>
        <v>0</v>
      </c>
      <c r="W19" s="33">
        <f t="shared" si="5"/>
        <v>0</v>
      </c>
      <c r="X19" s="33">
        <f t="shared" si="4"/>
        <v>0</v>
      </c>
      <c r="Y19" s="33">
        <v>18.0</v>
      </c>
      <c r="Z19" s="33">
        <v>14.0</v>
      </c>
      <c r="AA19" s="33">
        <v>0.0</v>
      </c>
      <c r="AB19" s="33">
        <v>1.0</v>
      </c>
    </row>
    <row r="20">
      <c r="A20" s="20"/>
      <c r="B20" s="8"/>
      <c r="C20" s="8"/>
      <c r="D20" s="8"/>
      <c r="E20" s="21"/>
      <c r="F20" s="22" t="str">
        <f t="shared" si="2"/>
        <v/>
      </c>
      <c r="G20" s="22" t="str">
        <f t="shared" si="3"/>
        <v/>
      </c>
      <c r="H20" s="23"/>
      <c r="I20" s="9">
        <v>0.0</v>
      </c>
      <c r="J20" s="9">
        <v>0.0</v>
      </c>
      <c r="K20" s="24">
        <v>0.0</v>
      </c>
      <c r="L20" s="24">
        <v>0.0</v>
      </c>
      <c r="M20" s="25"/>
      <c r="N20" s="10">
        <v>0.0</v>
      </c>
      <c r="O20" s="10">
        <v>0.0</v>
      </c>
      <c r="P20" s="26">
        <v>0.0</v>
      </c>
      <c r="Q20" s="26">
        <v>0.0</v>
      </c>
      <c r="V20" s="13">
        <f t="shared" si="6"/>
        <v>0</v>
      </c>
      <c r="W20" s="33">
        <f t="shared" si="5"/>
        <v>0</v>
      </c>
      <c r="X20" s="33">
        <f t="shared" si="4"/>
        <v>0</v>
      </c>
      <c r="Y20" s="33">
        <v>18.0</v>
      </c>
      <c r="Z20" s="33">
        <v>14.0</v>
      </c>
      <c r="AA20" s="33">
        <v>0.0</v>
      </c>
      <c r="AB20" s="33">
        <v>1.0</v>
      </c>
    </row>
    <row r="21">
      <c r="A21" s="20"/>
      <c r="B21" s="8"/>
      <c r="C21" s="8" t="str">
        <f t="shared" ref="C21:C24" si="7">IF(ISBLANK(A21), "", "-")
</f>
        <v/>
      </c>
      <c r="D21" s="8"/>
      <c r="E21" s="21"/>
      <c r="F21" s="22" t="str">
        <f t="shared" si="2"/>
        <v/>
      </c>
      <c r="G21" s="22" t="str">
        <f t="shared" si="3"/>
        <v/>
      </c>
      <c r="H21" s="23"/>
      <c r="I21" s="9">
        <v>0.0</v>
      </c>
      <c r="J21" s="9">
        <v>0.0</v>
      </c>
      <c r="K21" s="24">
        <v>0.0</v>
      </c>
      <c r="L21" s="24">
        <v>0.0</v>
      </c>
      <c r="M21" s="25"/>
      <c r="N21" s="10">
        <v>0.0</v>
      </c>
      <c r="O21" s="10">
        <v>0.0</v>
      </c>
      <c r="P21" s="26">
        <v>0.0</v>
      </c>
      <c r="Q21" s="26">
        <v>0.0</v>
      </c>
      <c r="V21" s="13">
        <f t="shared" si="6"/>
        <v>0</v>
      </c>
      <c r="W21" s="33">
        <f t="shared" si="5"/>
        <v>0</v>
      </c>
      <c r="X21" s="33">
        <f t="shared" si="4"/>
        <v>0</v>
      </c>
      <c r="Y21" s="33">
        <v>18.0</v>
      </c>
      <c r="Z21" s="33">
        <v>14.0</v>
      </c>
      <c r="AA21" s="33">
        <v>0.0</v>
      </c>
      <c r="AB21" s="33">
        <v>1.0</v>
      </c>
    </row>
    <row r="22">
      <c r="A22" s="39"/>
      <c r="B22" s="8"/>
      <c r="C22" s="8" t="str">
        <f t="shared" si="7"/>
        <v/>
      </c>
      <c r="D22" s="8"/>
      <c r="E22" s="21"/>
      <c r="F22" s="22" t="str">
        <f t="shared" si="2"/>
        <v/>
      </c>
      <c r="G22" s="22" t="str">
        <f t="shared" si="3"/>
        <v/>
      </c>
      <c r="H22" s="23"/>
      <c r="I22" s="9">
        <v>0.0</v>
      </c>
      <c r="J22" s="9">
        <v>0.0</v>
      </c>
      <c r="K22" s="24">
        <v>0.0</v>
      </c>
      <c r="L22" s="24">
        <v>0.0</v>
      </c>
      <c r="M22" s="25"/>
      <c r="N22" s="10">
        <v>0.0</v>
      </c>
      <c r="O22" s="10">
        <v>0.0</v>
      </c>
      <c r="P22" s="26">
        <v>0.0</v>
      </c>
      <c r="Q22" s="26">
        <v>0.0</v>
      </c>
      <c r="V22" s="13">
        <f t="shared" si="6"/>
        <v>0</v>
      </c>
      <c r="W22" s="33">
        <f t="shared" si="5"/>
        <v>0</v>
      </c>
      <c r="X22" s="33">
        <f t="shared" si="4"/>
        <v>0</v>
      </c>
      <c r="Y22" s="33">
        <v>18.0</v>
      </c>
      <c r="Z22" s="33">
        <v>14.0</v>
      </c>
      <c r="AA22" s="33">
        <v>0.0</v>
      </c>
      <c r="AB22" s="33">
        <v>1.0</v>
      </c>
    </row>
    <row r="23">
      <c r="A23" s="39"/>
      <c r="B23" s="8"/>
      <c r="C23" s="8" t="str">
        <f t="shared" si="7"/>
        <v/>
      </c>
      <c r="D23" s="8"/>
      <c r="E23" s="46"/>
      <c r="F23" s="22" t="str">
        <f t="shared" si="2"/>
        <v/>
      </c>
      <c r="G23" s="22" t="str">
        <f t="shared" si="3"/>
        <v/>
      </c>
      <c r="H23" s="23"/>
      <c r="I23" s="9">
        <v>0.0</v>
      </c>
      <c r="J23" s="9">
        <v>0.0</v>
      </c>
      <c r="K23" s="24"/>
      <c r="L23" s="24"/>
      <c r="M23" s="25"/>
      <c r="N23" s="10">
        <v>0.0</v>
      </c>
      <c r="O23" s="10">
        <v>0.0</v>
      </c>
      <c r="P23" s="26"/>
      <c r="Q23" s="26"/>
      <c r="V23" s="13">
        <f t="shared" si="6"/>
        <v>0</v>
      </c>
      <c r="W23" s="33">
        <f t="shared" si="5"/>
        <v>0</v>
      </c>
      <c r="X23" s="33">
        <f t="shared" si="4"/>
        <v>0</v>
      </c>
      <c r="Y23" s="33"/>
      <c r="Z23" s="33"/>
      <c r="AA23" s="33"/>
      <c r="AB23" s="33"/>
    </row>
    <row r="24">
      <c r="A24" s="39"/>
      <c r="B24" s="22"/>
      <c r="C24" s="8" t="str">
        <f t="shared" si="7"/>
        <v/>
      </c>
      <c r="D24" s="22"/>
      <c r="E24" s="46"/>
      <c r="F24" s="22"/>
      <c r="G24" s="22"/>
      <c r="H24" s="23"/>
      <c r="I24" s="9">
        <v>0.0</v>
      </c>
      <c r="J24" s="9">
        <v>0.0</v>
      </c>
      <c r="K24" s="24"/>
      <c r="L24" s="24"/>
      <c r="M24" s="25"/>
      <c r="N24" s="10">
        <v>0.0</v>
      </c>
      <c r="O24" s="10">
        <v>0.0</v>
      </c>
      <c r="P24" s="26"/>
      <c r="Q24" s="26"/>
      <c r="V24" s="13">
        <f t="shared" si="6"/>
        <v>0</v>
      </c>
      <c r="W24" s="33">
        <f t="shared" si="5"/>
        <v>0</v>
      </c>
      <c r="X24" s="33">
        <f t="shared" si="4"/>
        <v>0</v>
      </c>
      <c r="Y24" s="33"/>
      <c r="Z24" s="33"/>
      <c r="AA24" s="33"/>
      <c r="AB24" s="33"/>
    </row>
  </sheetData>
  <mergeCells count="11">
    <mergeCell ref="M4:O4"/>
    <mergeCell ref="R4:U4"/>
    <mergeCell ref="R7:U24"/>
    <mergeCell ref="A1:AB1"/>
    <mergeCell ref="A2:G2"/>
    <mergeCell ref="R2:S2"/>
    <mergeCell ref="B3:D3"/>
    <mergeCell ref="R3:S3"/>
    <mergeCell ref="A4:E4"/>
    <mergeCell ref="H4:J4"/>
    <mergeCell ref="Y4:AB4"/>
  </mergeCells>
  <dataValidations>
    <dataValidation type="list" allowBlank="1" showErrorMessage="1" sqref="N5:O24">
      <formula1>"0,1,2,3,4,5,6,7,8,9"</formula1>
    </dataValidation>
    <dataValidation type="list" allowBlank="1" showErrorMessage="1" sqref="T5:U6">
      <formula1>"0,1,2,3,4,5,6,7,8,9"</formula1>
    </dataValidation>
    <dataValidation type="list" allowBlank="1" showErrorMessage="1" sqref="I5:J24">
      <formula1>"0,1,2,3,4,5,6,7,8,9"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5" width="8.63"/>
  </cols>
  <sheetData>
    <row r="1">
      <c r="A1" s="58" t="s">
        <v>77</v>
      </c>
      <c r="B1" s="58" t="s">
        <v>3</v>
      </c>
      <c r="C1" s="58" t="s">
        <v>4</v>
      </c>
      <c r="D1" s="58" t="s">
        <v>15</v>
      </c>
      <c r="E1" s="58" t="s">
        <v>16</v>
      </c>
    </row>
    <row r="2">
      <c r="A2" s="81" t="str">
        <f>IFERROR(__xludf.DUMMYFUNCTION("QUERY(
    FILTER({
        IFERROR(QUERY(Matcher!H5:L1000, ""SELECT * WHERE H IS NOT NULL AND NOT H CONTAINS 'Gameweek'"", 0), {"""", """", """", """", """"});
        IFERROR(QUERY(Matcher!M5:Q1000, ""SELECT * WHERE M IS NOT NULL AND NOT M CONTAINS 'Gam"&amp;"eweek'"", 0), {"""", """", """", """", """"});
        IFERROR(QUERY(Matcher!R5:V1000, ""SELECT * WHERE R IS NOT NULL AND NOT R CONTAINS 'Gameweek'"", 0), {"""", """", """", """", """"});
        IFERROR(QUERY(Matcher!W5:AA1000, ""SELECT * WHERE W IS NOT "&amp;"NULL AND NOT W CONTAINS 'Gameweek'"", 0), {"""", """", """", """", """"});
        IFERROR(QUERY(Matcher!AC5:AG1000, ""SELECT * WHERE AC IS NOT NULL AND NOT AC CONTAINS 'Gameweek'"", 0), {"""", """", """", """", """"})
    }, LEN(FLATTEN({
        IFERROR"&amp;"(QUERY(Matcher!H5:H1000, ""SELECT H WHERE H IS NOT NULL AND NOT H CONTAINS 'Gameweek'"", 0), """");
        IFERROR(QUERY(Matcher!M5:M1000, ""SELECT M WHERE M IS NOT NULL AND NOT M CONTAINS 'Gameweek'"", 0), """");
        IFERROR(QUERY(Matcher!R5:R1000, "&amp;"""SELECT R WHERE R IS NOT NULL AND NOT R CONTAINS 'Gameweek'"", 0), """");
        IFERROR(QUERY(Matcher!W5:W1000, ""SELECT W WHERE W IS NOT NULL AND NOT W CONTAINS 'Gameweek'"", 0), """");
        IFERROR(QUERY(Matcher!AC5:AC1000, ""SELECT AC WHERE AC IS"&amp;" NOT NULL AND NOT AC CONTAINS 'Gameweek'"", 0), """")
    })) &gt; 0),
""SELECT * WHERE Col1 IS NOT NULL"")
"),"Samuel P")</f>
        <v>Samuel P</v>
      </c>
      <c r="B2" s="81">
        <f>IFERROR(__xludf.DUMMYFUNCTION("""COMPUTED_VALUE"""),2.0)</f>
        <v>2</v>
      </c>
      <c r="C2" s="81">
        <f>IFERROR(__xludf.DUMMYFUNCTION("""COMPUTED_VALUE"""),0.0)</f>
        <v>0</v>
      </c>
      <c r="D2" s="81">
        <f>IFERROR(__xludf.DUMMYFUNCTION("""COMPUTED_VALUE"""),4.0)</f>
        <v>4</v>
      </c>
      <c r="E2" s="81">
        <f>IFERROR(__xludf.DUMMYFUNCTION("""COMPUTED_VALUE"""),5.0)</f>
        <v>5</v>
      </c>
    </row>
    <row r="3">
      <c r="A3" s="81" t="str">
        <f>IFERROR(__xludf.DUMMYFUNCTION("""COMPUTED_VALUE"""),"Albert A")</f>
        <v>Albert A</v>
      </c>
      <c r="B3" s="81">
        <f>IFERROR(__xludf.DUMMYFUNCTION("""COMPUTED_VALUE"""),0.0)</f>
        <v>0</v>
      </c>
      <c r="C3" s="81">
        <f>IFERROR(__xludf.DUMMYFUNCTION("""COMPUTED_VALUE"""),0.0)</f>
        <v>0</v>
      </c>
      <c r="D3" s="81">
        <f>IFERROR(__xludf.DUMMYFUNCTION("""COMPUTED_VALUE"""),4.0)</f>
        <v>4</v>
      </c>
      <c r="E3" s="81">
        <f>IFERROR(__xludf.DUMMYFUNCTION("""COMPUTED_VALUE"""),5.0)</f>
        <v>5</v>
      </c>
    </row>
    <row r="4">
      <c r="A4" s="81" t="str">
        <f>IFERROR(__xludf.DUMMYFUNCTION("""COMPUTED_VALUE"""),"Amiin M")</f>
        <v>Amiin M</v>
      </c>
      <c r="B4" s="81">
        <f>IFERROR(__xludf.DUMMYFUNCTION("""COMPUTED_VALUE"""),3.0)</f>
        <v>3</v>
      </c>
      <c r="C4" s="81">
        <f>IFERROR(__xludf.DUMMYFUNCTION("""COMPUTED_VALUE"""),3.0)</f>
        <v>3</v>
      </c>
      <c r="D4" s="81">
        <f>IFERROR(__xludf.DUMMYFUNCTION("""COMPUTED_VALUE"""),4.0)</f>
        <v>4</v>
      </c>
      <c r="E4" s="81">
        <f>IFERROR(__xludf.DUMMYFUNCTION("""COMPUTED_VALUE"""),5.0)</f>
        <v>5</v>
      </c>
    </row>
    <row r="5">
      <c r="A5" s="81" t="str">
        <f>IFERROR(__xludf.DUMMYFUNCTION("""COMPUTED_VALUE"""),"Aria A")</f>
        <v>Aria A</v>
      </c>
      <c r="B5" s="81">
        <f>IFERROR(__xludf.DUMMYFUNCTION("""COMPUTED_VALUE"""),0.0)</f>
        <v>0</v>
      </c>
      <c r="C5" s="81">
        <f>IFERROR(__xludf.DUMMYFUNCTION("""COMPUTED_VALUE"""),1.0)</f>
        <v>1</v>
      </c>
      <c r="D5" s="81">
        <f>IFERROR(__xludf.DUMMYFUNCTION("""COMPUTED_VALUE"""),4.0)</f>
        <v>4</v>
      </c>
      <c r="E5" s="81">
        <f>IFERROR(__xludf.DUMMYFUNCTION("""COMPUTED_VALUE"""),5.0)</f>
        <v>5</v>
      </c>
    </row>
    <row r="6">
      <c r="A6" s="81" t="str">
        <f>IFERROR(__xludf.DUMMYFUNCTION("""COMPUTED_VALUE"""),"Oliver G")</f>
        <v>Oliver G</v>
      </c>
      <c r="B6" s="81">
        <f>IFERROR(__xludf.DUMMYFUNCTION("""COMPUTED_VALUE"""),0.0)</f>
        <v>0</v>
      </c>
      <c r="C6" s="81">
        <f>IFERROR(__xludf.DUMMYFUNCTION("""COMPUTED_VALUE"""),0.0)</f>
        <v>0</v>
      </c>
      <c r="D6" s="81">
        <f>IFERROR(__xludf.DUMMYFUNCTION("""COMPUTED_VALUE"""),4.0)</f>
        <v>4</v>
      </c>
      <c r="E6" s="81">
        <f>IFERROR(__xludf.DUMMYFUNCTION("""COMPUTED_VALUE"""),5.0)</f>
        <v>5</v>
      </c>
    </row>
    <row r="7">
      <c r="A7" s="81" t="str">
        <f>IFERROR(__xludf.DUMMYFUNCTION("""COMPUTED_VALUE"""),"Oskar B")</f>
        <v>Oskar B</v>
      </c>
      <c r="B7" s="81">
        <f>IFERROR(__xludf.DUMMYFUNCTION("""COMPUTED_VALUE"""),2.0)</f>
        <v>2</v>
      </c>
      <c r="C7" s="81">
        <f>IFERROR(__xludf.DUMMYFUNCTION("""COMPUTED_VALUE"""),2.0)</f>
        <v>2</v>
      </c>
      <c r="D7" s="81">
        <f>IFERROR(__xludf.DUMMYFUNCTION("""COMPUTED_VALUE"""),4.0)</f>
        <v>4</v>
      </c>
      <c r="E7" s="81">
        <f>IFERROR(__xludf.DUMMYFUNCTION("""COMPUTED_VALUE"""),5.0)</f>
        <v>5</v>
      </c>
    </row>
    <row r="8">
      <c r="A8" s="81" t="str">
        <f>IFERROR(__xludf.DUMMYFUNCTION("""COMPUTED_VALUE"""),"Samuel P")</f>
        <v>Samuel P</v>
      </c>
      <c r="B8" s="81">
        <f>IFERROR(__xludf.DUMMYFUNCTION("""COMPUTED_VALUE"""),1.0)</f>
        <v>1</v>
      </c>
      <c r="C8" s="81">
        <f>IFERROR(__xludf.DUMMYFUNCTION("""COMPUTED_VALUE"""),4.0)</f>
        <v>4</v>
      </c>
      <c r="D8" s="81">
        <f>IFERROR(__xludf.DUMMYFUNCTION("""COMPUTED_VALUE"""),1.0)</f>
        <v>1</v>
      </c>
      <c r="E8" s="81">
        <f>IFERROR(__xludf.DUMMYFUNCTION("""COMPUTED_VALUE"""),5.0)</f>
        <v>5</v>
      </c>
    </row>
    <row r="9">
      <c r="A9" s="81" t="str">
        <f>IFERROR(__xludf.DUMMYFUNCTION("""COMPUTED_VALUE"""),"Emil F")</f>
        <v>Emil F</v>
      </c>
      <c r="B9" s="81">
        <f>IFERROR(__xludf.DUMMYFUNCTION("""COMPUTED_VALUE"""),4.0)</f>
        <v>4</v>
      </c>
      <c r="C9" s="81">
        <f>IFERROR(__xludf.DUMMYFUNCTION("""COMPUTED_VALUE"""),0.0)</f>
        <v>0</v>
      </c>
      <c r="D9" s="81">
        <f>IFERROR(__xludf.DUMMYFUNCTION("""COMPUTED_VALUE"""),1.0)</f>
        <v>1</v>
      </c>
      <c r="E9" s="81">
        <f>IFERROR(__xludf.DUMMYFUNCTION("""COMPUTED_VALUE"""),5.0)</f>
        <v>5</v>
      </c>
    </row>
    <row r="10">
      <c r="A10" s="81" t="str">
        <f>IFERROR(__xludf.DUMMYFUNCTION("""COMPUTED_VALUE"""),"Isak L")</f>
        <v>Isak L</v>
      </c>
      <c r="B10" s="81">
        <f>IFERROR(__xludf.DUMMYFUNCTION("""COMPUTED_VALUE"""),0.0)</f>
        <v>0</v>
      </c>
      <c r="C10" s="81">
        <f>IFERROR(__xludf.DUMMYFUNCTION("""COMPUTED_VALUE"""),1.0)</f>
        <v>1</v>
      </c>
      <c r="D10" s="81">
        <f>IFERROR(__xludf.DUMMYFUNCTION("""COMPUTED_VALUE"""),1.0)</f>
        <v>1</v>
      </c>
      <c r="E10" s="81">
        <f>IFERROR(__xludf.DUMMYFUNCTION("""COMPUTED_VALUE"""),5.0)</f>
        <v>5</v>
      </c>
    </row>
    <row r="11">
      <c r="A11" s="81" t="str">
        <f>IFERROR(__xludf.DUMMYFUNCTION("""COMPUTED_VALUE"""),"Daniel K")</f>
        <v>Daniel K</v>
      </c>
      <c r="B11" s="81">
        <f>IFERROR(__xludf.DUMMYFUNCTION("""COMPUTED_VALUE"""),0.0)</f>
        <v>0</v>
      </c>
      <c r="C11" s="81">
        <f>IFERROR(__xludf.DUMMYFUNCTION("""COMPUTED_VALUE"""),0.0)</f>
        <v>0</v>
      </c>
      <c r="D11" s="81">
        <f>IFERROR(__xludf.DUMMYFUNCTION("""COMPUTED_VALUE"""),1.0)</f>
        <v>1</v>
      </c>
      <c r="E11" s="81">
        <f>IFERROR(__xludf.DUMMYFUNCTION("""COMPUTED_VALUE"""),5.0)</f>
        <v>5</v>
      </c>
    </row>
    <row r="12">
      <c r="A12" s="81" t="str">
        <f>IFERROR(__xludf.DUMMYFUNCTION("""COMPUTED_VALUE"""),"Jakob S")</f>
        <v>Jakob S</v>
      </c>
      <c r="B12" s="81">
        <f>IFERROR(__xludf.DUMMYFUNCTION("""COMPUTED_VALUE"""),1.0)</f>
        <v>1</v>
      </c>
      <c r="C12" s="81">
        <f>IFERROR(__xludf.DUMMYFUNCTION("""COMPUTED_VALUE"""),1.0)</f>
        <v>1</v>
      </c>
      <c r="D12" s="81">
        <f>IFERROR(__xludf.DUMMYFUNCTION("""COMPUTED_VALUE"""),1.0)</f>
        <v>1</v>
      </c>
      <c r="E12" s="81">
        <f>IFERROR(__xludf.DUMMYFUNCTION("""COMPUTED_VALUE"""),5.0)</f>
        <v>5</v>
      </c>
    </row>
    <row r="13">
      <c r="A13" s="81" t="str">
        <f>IFERROR(__xludf.DUMMYFUNCTION("""COMPUTED_VALUE"""),"Albert A")</f>
        <v>Albert A</v>
      </c>
      <c r="B13" s="81">
        <f>IFERROR(__xludf.DUMMYFUNCTION("""COMPUTED_VALUE"""),1.0)</f>
        <v>1</v>
      </c>
      <c r="C13" s="81">
        <f>IFERROR(__xludf.DUMMYFUNCTION("""COMPUTED_VALUE"""),1.0)</f>
        <v>1</v>
      </c>
      <c r="D13" s="81">
        <f>IFERROR(__xludf.DUMMYFUNCTION("""COMPUTED_VALUE"""),3.0)</f>
        <v>3</v>
      </c>
      <c r="E13" s="81">
        <f>IFERROR(__xludf.DUMMYFUNCTION("""COMPUTED_VALUE"""),2.0)</f>
        <v>2</v>
      </c>
    </row>
    <row r="14">
      <c r="A14" s="81" t="str">
        <f>IFERROR(__xludf.DUMMYFUNCTION("""COMPUTED_VALUE"""),"Shahir I")</f>
        <v>Shahir I</v>
      </c>
      <c r="B14" s="81">
        <f>IFERROR(__xludf.DUMMYFUNCTION("""COMPUTED_VALUE"""),0.0)</f>
        <v>0</v>
      </c>
      <c r="C14" s="81">
        <f>IFERROR(__xludf.DUMMYFUNCTION("""COMPUTED_VALUE"""),1.0)</f>
        <v>1</v>
      </c>
      <c r="D14" s="81">
        <f>IFERROR(__xludf.DUMMYFUNCTION("""COMPUTED_VALUE"""),3.0)</f>
        <v>3</v>
      </c>
      <c r="E14" s="81">
        <f>IFERROR(__xludf.DUMMYFUNCTION("""COMPUTED_VALUE"""),2.0)</f>
        <v>2</v>
      </c>
    </row>
    <row r="15">
      <c r="A15" s="81" t="str">
        <f>IFERROR(__xludf.DUMMYFUNCTION("""COMPUTED_VALUE"""),"Eskil K")</f>
        <v>Eskil K</v>
      </c>
      <c r="B15" s="81">
        <f>IFERROR(__xludf.DUMMYFUNCTION("""COMPUTED_VALUE"""),4.0)</f>
        <v>4</v>
      </c>
      <c r="C15" s="81">
        <f>IFERROR(__xludf.DUMMYFUNCTION("""COMPUTED_VALUE"""),0.0)</f>
        <v>0</v>
      </c>
      <c r="D15" s="81">
        <f>IFERROR(__xludf.DUMMYFUNCTION("""COMPUTED_VALUE"""),3.0)</f>
        <v>3</v>
      </c>
      <c r="E15" s="81">
        <f>IFERROR(__xludf.DUMMYFUNCTION("""COMPUTED_VALUE"""),2.0)</f>
        <v>2</v>
      </c>
    </row>
    <row r="16">
      <c r="A16" s="81" t="str">
        <f>IFERROR(__xludf.DUMMYFUNCTION("""COMPUTED_VALUE"""),"Oskar R")</f>
        <v>Oskar R</v>
      </c>
      <c r="B16" s="81">
        <f>IFERROR(__xludf.DUMMYFUNCTION("""COMPUTED_VALUE"""),1.0)</f>
        <v>1</v>
      </c>
      <c r="C16" s="81">
        <f>IFERROR(__xludf.DUMMYFUNCTION("""COMPUTED_VALUE"""),0.0)</f>
        <v>0</v>
      </c>
      <c r="D16" s="81">
        <f>IFERROR(__xludf.DUMMYFUNCTION("""COMPUTED_VALUE"""),3.0)</f>
        <v>3</v>
      </c>
      <c r="E16" s="81">
        <f>IFERROR(__xludf.DUMMYFUNCTION("""COMPUTED_VALUE"""),2.0)</f>
        <v>2</v>
      </c>
    </row>
    <row r="17">
      <c r="A17" s="81" t="str">
        <f>IFERROR(__xludf.DUMMYFUNCTION("""COMPUTED_VALUE"""),"Pontus B")</f>
        <v>Pontus B</v>
      </c>
      <c r="B17" s="81">
        <f>IFERROR(__xludf.DUMMYFUNCTION("""COMPUTED_VALUE"""),3.0)</f>
        <v>3</v>
      </c>
      <c r="C17" s="81">
        <f>IFERROR(__xludf.DUMMYFUNCTION("""COMPUTED_VALUE"""),2.0)</f>
        <v>2</v>
      </c>
      <c r="D17" s="81">
        <f>IFERROR(__xludf.DUMMYFUNCTION("""COMPUTED_VALUE"""),3.0)</f>
        <v>3</v>
      </c>
      <c r="E17" s="81">
        <f>IFERROR(__xludf.DUMMYFUNCTION("""COMPUTED_VALUE"""),2.0)</f>
        <v>2</v>
      </c>
    </row>
    <row r="18">
      <c r="A18" s="81" t="str">
        <f>IFERROR(__xludf.DUMMYFUNCTION("""COMPUTED_VALUE"""),"Benjamin L")</f>
        <v>Benjamin L</v>
      </c>
      <c r="B18" s="81">
        <f>IFERROR(__xludf.DUMMYFUNCTION("""COMPUTED_VALUE"""),0.0)</f>
        <v>0</v>
      </c>
      <c r="C18" s="81">
        <f>IFERROR(__xludf.DUMMYFUNCTION("""COMPUTED_VALUE"""),2.0)</f>
        <v>2</v>
      </c>
      <c r="D18" s="81">
        <f>IFERROR(__xludf.DUMMYFUNCTION("""COMPUTED_VALUE"""),7.0)</f>
        <v>7</v>
      </c>
      <c r="E18" s="81">
        <f>IFERROR(__xludf.DUMMYFUNCTION("""COMPUTED_VALUE"""),1.0)</f>
        <v>1</v>
      </c>
    </row>
    <row r="19">
      <c r="A19" s="81" t="str">
        <f>IFERROR(__xludf.DUMMYFUNCTION("""COMPUTED_VALUE"""),"Branislav D")</f>
        <v>Branislav D</v>
      </c>
      <c r="B19" s="81">
        <f>IFERROR(__xludf.DUMMYFUNCTION("""COMPUTED_VALUE"""),1.0)</f>
        <v>1</v>
      </c>
      <c r="C19" s="81">
        <f>IFERROR(__xludf.DUMMYFUNCTION("""COMPUTED_VALUE"""),3.0)</f>
        <v>3</v>
      </c>
      <c r="D19" s="81">
        <f>IFERROR(__xludf.DUMMYFUNCTION("""COMPUTED_VALUE"""),7.0)</f>
        <v>7</v>
      </c>
      <c r="E19" s="81">
        <f>IFERROR(__xludf.DUMMYFUNCTION("""COMPUTED_VALUE"""),1.0)</f>
        <v>1</v>
      </c>
    </row>
    <row r="20">
      <c r="A20" s="81" t="str">
        <f>IFERROR(__xludf.DUMMYFUNCTION("""COMPUTED_VALUE"""),"Dennis F")</f>
        <v>Dennis F</v>
      </c>
      <c r="B20" s="81">
        <f>IFERROR(__xludf.DUMMYFUNCTION("""COMPUTED_VALUE"""),3.0)</f>
        <v>3</v>
      </c>
      <c r="C20" s="81">
        <f>IFERROR(__xludf.DUMMYFUNCTION("""COMPUTED_VALUE"""),2.0)</f>
        <v>2</v>
      </c>
      <c r="D20" s="81">
        <f>IFERROR(__xludf.DUMMYFUNCTION("""COMPUTED_VALUE"""),7.0)</f>
        <v>7</v>
      </c>
      <c r="E20" s="81">
        <f>IFERROR(__xludf.DUMMYFUNCTION("""COMPUTED_VALUE"""),1.0)</f>
        <v>1</v>
      </c>
    </row>
    <row r="21">
      <c r="A21" s="81" t="str">
        <f>IFERROR(__xludf.DUMMYFUNCTION("""COMPUTED_VALUE"""),"Emil F")</f>
        <v>Emil F</v>
      </c>
      <c r="B21" s="81">
        <f>IFERROR(__xludf.DUMMYFUNCTION("""COMPUTED_VALUE"""),5.0)</f>
        <v>5</v>
      </c>
      <c r="C21" s="81">
        <f>IFERROR(__xludf.DUMMYFUNCTION("""COMPUTED_VALUE"""),3.0)</f>
        <v>3</v>
      </c>
      <c r="D21" s="81">
        <f>IFERROR(__xludf.DUMMYFUNCTION("""COMPUTED_VALUE"""),7.0)</f>
        <v>7</v>
      </c>
      <c r="E21" s="81">
        <f>IFERROR(__xludf.DUMMYFUNCTION("""COMPUTED_VALUE"""),1.0)</f>
        <v>1</v>
      </c>
    </row>
    <row r="22">
      <c r="A22" s="81" t="str">
        <f>IFERROR(__xludf.DUMMYFUNCTION("""COMPUTED_VALUE"""),"Jakob S")</f>
        <v>Jakob S</v>
      </c>
      <c r="B22" s="81">
        <f>IFERROR(__xludf.DUMMYFUNCTION("""COMPUTED_VALUE"""),5.0)</f>
        <v>5</v>
      </c>
      <c r="C22" s="81">
        <f>IFERROR(__xludf.DUMMYFUNCTION("""COMPUTED_VALUE"""),3.0)</f>
        <v>3</v>
      </c>
      <c r="D22" s="81">
        <f>IFERROR(__xludf.DUMMYFUNCTION("""COMPUTED_VALUE"""),7.0)</f>
        <v>7</v>
      </c>
      <c r="E22" s="81">
        <f>IFERROR(__xludf.DUMMYFUNCTION("""COMPUTED_VALUE"""),1.0)</f>
        <v>1</v>
      </c>
    </row>
    <row r="23">
      <c r="A23" s="81" t="str">
        <f>IFERROR(__xludf.DUMMYFUNCTION("""COMPUTED_VALUE"""),"Shahir I")</f>
        <v>Shahir I</v>
      </c>
      <c r="B23" s="81">
        <f>IFERROR(__xludf.DUMMYFUNCTION("""COMPUTED_VALUE"""),1.0)</f>
        <v>1</v>
      </c>
      <c r="C23" s="81">
        <f>IFERROR(__xludf.DUMMYFUNCTION("""COMPUTED_VALUE"""),1.0)</f>
        <v>1</v>
      </c>
      <c r="D23" s="81">
        <f>IFERROR(__xludf.DUMMYFUNCTION("""COMPUTED_VALUE"""),7.0)</f>
        <v>7</v>
      </c>
      <c r="E23" s="81">
        <f>IFERROR(__xludf.DUMMYFUNCTION("""COMPUTED_VALUE"""),1.0)</f>
        <v>1</v>
      </c>
    </row>
    <row r="24">
      <c r="A24" s="81" t="str">
        <f>IFERROR(__xludf.DUMMYFUNCTION("""COMPUTED_VALUE"""),"Aria A")</f>
        <v>Aria A</v>
      </c>
      <c r="B24" s="81">
        <f>IFERROR(__xludf.DUMMYFUNCTION("""COMPUTED_VALUE"""),1.0)</f>
        <v>1</v>
      </c>
      <c r="C24" s="81">
        <f>IFERROR(__xludf.DUMMYFUNCTION("""COMPUTED_VALUE"""),0.0)</f>
        <v>0</v>
      </c>
      <c r="D24" s="81">
        <f>IFERROR(__xludf.DUMMYFUNCTION("""COMPUTED_VALUE"""),1.0)</f>
        <v>1</v>
      </c>
      <c r="E24" s="81">
        <f>IFERROR(__xludf.DUMMYFUNCTION("""COMPUTED_VALUE"""),1.0)</f>
        <v>1</v>
      </c>
    </row>
    <row r="25">
      <c r="A25" s="81" t="str">
        <f>IFERROR(__xludf.DUMMYFUNCTION("""COMPUTED_VALUE"""),"Jakob S")</f>
        <v>Jakob S</v>
      </c>
      <c r="B25" s="81">
        <f>IFERROR(__xludf.DUMMYFUNCTION("""COMPUTED_VALUE"""),4.0)</f>
        <v>4</v>
      </c>
      <c r="C25" s="81">
        <f>IFERROR(__xludf.DUMMYFUNCTION("""COMPUTED_VALUE"""),1.0)</f>
        <v>1</v>
      </c>
      <c r="D25" s="81">
        <f>IFERROR(__xludf.DUMMYFUNCTION("""COMPUTED_VALUE"""),1.0)</f>
        <v>1</v>
      </c>
      <c r="E25" s="81">
        <f>IFERROR(__xludf.DUMMYFUNCTION("""COMPUTED_VALUE"""),1.0)</f>
        <v>1</v>
      </c>
    </row>
    <row r="26">
      <c r="A26" s="81" t="str">
        <f>IFERROR(__xludf.DUMMYFUNCTION("""COMPUTED_VALUE"""),"Karvan X")</f>
        <v>Karvan X</v>
      </c>
      <c r="B26" s="81">
        <f>IFERROR(__xludf.DUMMYFUNCTION("""COMPUTED_VALUE"""),1.0)</f>
        <v>1</v>
      </c>
      <c r="C26" s="81">
        <f>IFERROR(__xludf.DUMMYFUNCTION("""COMPUTED_VALUE"""),0.0)</f>
        <v>0</v>
      </c>
      <c r="D26" s="81">
        <f>IFERROR(__xludf.DUMMYFUNCTION("""COMPUTED_VALUE"""),1.0)</f>
        <v>1</v>
      </c>
      <c r="E26" s="81">
        <f>IFERROR(__xludf.DUMMYFUNCTION("""COMPUTED_VALUE"""),1.0)</f>
        <v>1</v>
      </c>
    </row>
    <row r="27">
      <c r="A27" s="81" t="str">
        <f>IFERROR(__xludf.DUMMYFUNCTION("""COMPUTED_VALUE"""),"Oliver G")</f>
        <v>Oliver G</v>
      </c>
      <c r="B27" s="81">
        <f>IFERROR(__xludf.DUMMYFUNCTION("""COMPUTED_VALUE"""),0.0)</f>
        <v>0</v>
      </c>
      <c r="C27" s="81">
        <f>IFERROR(__xludf.DUMMYFUNCTION("""COMPUTED_VALUE"""),1.0)</f>
        <v>1</v>
      </c>
      <c r="D27" s="81">
        <f>IFERROR(__xludf.DUMMYFUNCTION("""COMPUTED_VALUE"""),1.0)</f>
        <v>1</v>
      </c>
      <c r="E27" s="81">
        <f>IFERROR(__xludf.DUMMYFUNCTION("""COMPUTED_VALUE"""),1.0)</f>
        <v>1</v>
      </c>
    </row>
    <row r="28">
      <c r="A28" s="81" t="str">
        <f>IFERROR(__xludf.DUMMYFUNCTION("""COMPUTED_VALUE"""),"Shahir I")</f>
        <v>Shahir I</v>
      </c>
      <c r="B28" s="81">
        <f>IFERROR(__xludf.DUMMYFUNCTION("""COMPUTED_VALUE"""),0.0)</f>
        <v>0</v>
      </c>
      <c r="C28" s="81">
        <f>IFERROR(__xludf.DUMMYFUNCTION("""COMPUTED_VALUE"""),2.0)</f>
        <v>2</v>
      </c>
      <c r="D28" s="81">
        <f>IFERROR(__xludf.DUMMYFUNCTION("""COMPUTED_VALUE"""),1.0)</f>
        <v>1</v>
      </c>
      <c r="E28" s="81">
        <f>IFERROR(__xludf.DUMMYFUNCTION("""COMPUTED_VALUE"""),1.0)</f>
        <v>1</v>
      </c>
    </row>
    <row r="29">
      <c r="A29" s="81" t="str">
        <f>IFERROR(__xludf.DUMMYFUNCTION("""COMPUTED_VALUE"""),"Ivan N")</f>
        <v>Ivan N</v>
      </c>
      <c r="B29" s="81">
        <f>IFERROR(__xludf.DUMMYFUNCTION("""COMPUTED_VALUE"""),3.0)</f>
        <v>3</v>
      </c>
      <c r="C29" s="81">
        <f>IFERROR(__xludf.DUMMYFUNCTION("""COMPUTED_VALUE"""),1.0)</f>
        <v>1</v>
      </c>
      <c r="D29" s="81">
        <f>IFERROR(__xludf.DUMMYFUNCTION("""COMPUTED_VALUE"""),3.0)</f>
        <v>3</v>
      </c>
      <c r="E29" s="81">
        <f>IFERROR(__xludf.DUMMYFUNCTION("""COMPUTED_VALUE"""),2.0)</f>
        <v>2</v>
      </c>
    </row>
    <row r="30">
      <c r="A30" s="81" t="str">
        <f>IFERROR(__xludf.DUMMYFUNCTION("""COMPUTED_VALUE"""),"Oliver G")</f>
        <v>Oliver G</v>
      </c>
      <c r="B30" s="81">
        <f>IFERROR(__xludf.DUMMYFUNCTION("""COMPUTED_VALUE"""),2.0)</f>
        <v>2</v>
      </c>
      <c r="C30" s="81">
        <f>IFERROR(__xludf.DUMMYFUNCTION("""COMPUTED_VALUE"""),1.0)</f>
        <v>1</v>
      </c>
      <c r="D30" s="81">
        <f>IFERROR(__xludf.DUMMYFUNCTION("""COMPUTED_VALUE"""),3.0)</f>
        <v>3</v>
      </c>
      <c r="E30" s="81">
        <f>IFERROR(__xludf.DUMMYFUNCTION("""COMPUTED_VALUE"""),2.0)</f>
        <v>2</v>
      </c>
    </row>
    <row r="31">
      <c r="A31" s="81" t="str">
        <f>IFERROR(__xludf.DUMMYFUNCTION("""COMPUTED_VALUE"""),"Oskar R")</f>
        <v>Oskar R</v>
      </c>
      <c r="B31" s="81">
        <f>IFERROR(__xludf.DUMMYFUNCTION("""COMPUTED_VALUE"""),0.0)</f>
        <v>0</v>
      </c>
      <c r="C31" s="81">
        <f>IFERROR(__xludf.DUMMYFUNCTION("""COMPUTED_VALUE"""),2.0)</f>
        <v>2</v>
      </c>
      <c r="D31" s="81">
        <f>IFERROR(__xludf.DUMMYFUNCTION("""COMPUTED_VALUE"""),3.0)</f>
        <v>3</v>
      </c>
      <c r="E31" s="81">
        <f>IFERROR(__xludf.DUMMYFUNCTION("""COMPUTED_VALUE"""),2.0)</f>
        <v>2</v>
      </c>
    </row>
    <row r="32">
      <c r="A32" s="81" t="str">
        <f>IFERROR(__xludf.DUMMYFUNCTION("""COMPUTED_VALUE"""),"Shahir I")</f>
        <v>Shahir I</v>
      </c>
      <c r="B32" s="81">
        <f>IFERROR(__xludf.DUMMYFUNCTION("""COMPUTED_VALUE"""),1.0)</f>
        <v>1</v>
      </c>
      <c r="C32" s="81">
        <f>IFERROR(__xludf.DUMMYFUNCTION("""COMPUTED_VALUE"""),0.0)</f>
        <v>0</v>
      </c>
      <c r="D32" s="81">
        <f>IFERROR(__xludf.DUMMYFUNCTION("""COMPUTED_VALUE"""),3.0)</f>
        <v>3</v>
      </c>
      <c r="E32" s="81">
        <f>IFERROR(__xludf.DUMMYFUNCTION("""COMPUTED_VALUE"""),2.0)</f>
        <v>2</v>
      </c>
    </row>
    <row r="33">
      <c r="A33" s="81" t="str">
        <f>IFERROR(__xludf.DUMMYFUNCTION("""COMPUTED_VALUE"""),"Daniel K")</f>
        <v>Daniel K</v>
      </c>
      <c r="B33" s="81">
        <f>IFERROR(__xludf.DUMMYFUNCTION("""COMPUTED_VALUE"""),1.0)</f>
        <v>1</v>
      </c>
      <c r="C33" s="81">
        <f>IFERROR(__xludf.DUMMYFUNCTION("""COMPUTED_VALUE"""),2.0)</f>
        <v>2</v>
      </c>
      <c r="D33" s="81">
        <f>IFERROR(__xludf.DUMMYFUNCTION("""COMPUTED_VALUE"""),3.0)</f>
        <v>3</v>
      </c>
      <c r="E33" s="81">
        <f>IFERROR(__xludf.DUMMYFUNCTION("""COMPUTED_VALUE"""),2.0)</f>
        <v>2</v>
      </c>
    </row>
    <row r="34">
      <c r="A34" s="81" t="str">
        <f>IFERROR(__xludf.DUMMYFUNCTION("""COMPUTED_VALUE"""),"Aria A")</f>
        <v>Aria A</v>
      </c>
      <c r="B34" s="81">
        <f>IFERROR(__xludf.DUMMYFUNCTION("""COMPUTED_VALUE"""),1.0)</f>
        <v>1</v>
      </c>
      <c r="C34" s="81">
        <f>IFERROR(__xludf.DUMMYFUNCTION("""COMPUTED_VALUE"""),0.0)</f>
        <v>0</v>
      </c>
      <c r="D34" s="81">
        <f>IFERROR(__xludf.DUMMYFUNCTION("""COMPUTED_VALUE"""),3.0)</f>
        <v>3</v>
      </c>
      <c r="E34" s="81">
        <f>IFERROR(__xludf.DUMMYFUNCTION("""COMPUTED_VALUE"""),2.0)</f>
        <v>2</v>
      </c>
    </row>
    <row r="35">
      <c r="A35" s="81" t="str">
        <f>IFERROR(__xludf.DUMMYFUNCTION("""COMPUTED_VALUE"""),"Daniel K")</f>
        <v>Daniel K</v>
      </c>
      <c r="B35" s="81">
        <f>IFERROR(__xludf.DUMMYFUNCTION("""COMPUTED_VALUE"""),0.0)</f>
        <v>0</v>
      </c>
      <c r="C35" s="81">
        <f>IFERROR(__xludf.DUMMYFUNCTION("""COMPUTED_VALUE"""),1.0)</f>
        <v>1</v>
      </c>
      <c r="D35" s="81">
        <f>IFERROR(__xludf.DUMMYFUNCTION("""COMPUTED_VALUE"""),3.0)</f>
        <v>3</v>
      </c>
      <c r="E35" s="81">
        <f>IFERROR(__xludf.DUMMYFUNCTION("""COMPUTED_VALUE"""),2.0)</f>
        <v>2</v>
      </c>
    </row>
    <row r="36">
      <c r="A36" s="81" t="str">
        <f>IFERROR(__xludf.DUMMYFUNCTION("""COMPUTED_VALUE"""),"Eskil K")</f>
        <v>Eskil K</v>
      </c>
      <c r="B36" s="81">
        <f>IFERROR(__xludf.DUMMYFUNCTION("""COMPUTED_VALUE"""),2.0)</f>
        <v>2</v>
      </c>
      <c r="C36" s="81">
        <f>IFERROR(__xludf.DUMMYFUNCTION("""COMPUTED_VALUE"""),1.0)</f>
        <v>1</v>
      </c>
      <c r="D36" s="81">
        <f>IFERROR(__xludf.DUMMYFUNCTION("""COMPUTED_VALUE"""),3.0)</f>
        <v>3</v>
      </c>
      <c r="E36" s="81">
        <f>IFERROR(__xludf.DUMMYFUNCTION("""COMPUTED_VALUE"""),2.0)</f>
        <v>2</v>
      </c>
    </row>
    <row r="37">
      <c r="A37" s="81" t="str">
        <f>IFERROR(__xludf.DUMMYFUNCTION("""COMPUTED_VALUE"""),"Jakob S")</f>
        <v>Jakob S</v>
      </c>
      <c r="B37" s="81">
        <f>IFERROR(__xludf.DUMMYFUNCTION("""COMPUTED_VALUE"""),2.0)</f>
        <v>2</v>
      </c>
      <c r="C37" s="81">
        <f>IFERROR(__xludf.DUMMYFUNCTION("""COMPUTED_VALUE"""),5.0)</f>
        <v>5</v>
      </c>
      <c r="D37" s="81">
        <f>IFERROR(__xludf.DUMMYFUNCTION("""COMPUTED_VALUE"""),3.0)</f>
        <v>3</v>
      </c>
      <c r="E37" s="81">
        <f>IFERROR(__xludf.DUMMYFUNCTION("""COMPUTED_VALUE"""),2.0)</f>
        <v>2</v>
      </c>
    </row>
    <row r="38">
      <c r="A38" s="81" t="str">
        <f>IFERROR(__xludf.DUMMYFUNCTION("""COMPUTED_VALUE"""),"Oliver G")</f>
        <v>Oliver G</v>
      </c>
      <c r="B38" s="81">
        <f>IFERROR(__xludf.DUMMYFUNCTION("""COMPUTED_VALUE"""),5.0)</f>
        <v>5</v>
      </c>
      <c r="C38" s="81">
        <f>IFERROR(__xludf.DUMMYFUNCTION("""COMPUTED_VALUE"""),3.0)</f>
        <v>3</v>
      </c>
      <c r="D38" s="81">
        <f>IFERROR(__xludf.DUMMYFUNCTION("""COMPUTED_VALUE"""),3.0)</f>
        <v>3</v>
      </c>
      <c r="E38" s="81">
        <f>IFERROR(__xludf.DUMMYFUNCTION("""COMPUTED_VALUE"""),2.0)</f>
        <v>2</v>
      </c>
    </row>
    <row r="39">
      <c r="A39" s="81" t="str">
        <f>IFERROR(__xludf.DUMMYFUNCTION("""COMPUTED_VALUE"""),"Daniel K")</f>
        <v>Daniel K</v>
      </c>
      <c r="B39" s="81">
        <f>IFERROR(__xludf.DUMMYFUNCTION("""COMPUTED_VALUE"""),4.0)</f>
        <v>4</v>
      </c>
      <c r="C39" s="81">
        <f>IFERROR(__xludf.DUMMYFUNCTION("""COMPUTED_VALUE"""),0.0)</f>
        <v>0</v>
      </c>
      <c r="D39" s="81">
        <f>IFERROR(__xludf.DUMMYFUNCTION("""COMPUTED_VALUE"""),3.0)</f>
        <v>3</v>
      </c>
      <c r="E39" s="81">
        <f>IFERROR(__xludf.DUMMYFUNCTION("""COMPUTED_VALUE"""),2.0)</f>
        <v>2</v>
      </c>
    </row>
    <row r="40">
      <c r="A40" s="81" t="str">
        <f>IFERROR(__xludf.DUMMYFUNCTION("""COMPUTED_VALUE"""),"Emil A")</f>
        <v>Emil A</v>
      </c>
      <c r="B40" s="81">
        <f>IFERROR(__xludf.DUMMYFUNCTION("""COMPUTED_VALUE"""),1.0)</f>
        <v>1</v>
      </c>
      <c r="C40" s="81">
        <f>IFERROR(__xludf.DUMMYFUNCTION("""COMPUTED_VALUE"""),0.0)</f>
        <v>0</v>
      </c>
      <c r="D40" s="81">
        <f>IFERROR(__xludf.DUMMYFUNCTION("""COMPUTED_VALUE"""),3.0)</f>
        <v>3</v>
      </c>
      <c r="E40" s="81">
        <f>IFERROR(__xludf.DUMMYFUNCTION("""COMPUTED_VALUE"""),2.0)</f>
        <v>2</v>
      </c>
    </row>
    <row r="41">
      <c r="A41" s="81" t="str">
        <f>IFERROR(__xludf.DUMMYFUNCTION("""COMPUTED_VALUE"""),"George T")</f>
        <v>George T</v>
      </c>
      <c r="B41" s="81">
        <f>IFERROR(__xludf.DUMMYFUNCTION("""COMPUTED_VALUE"""),1.0)</f>
        <v>1</v>
      </c>
      <c r="C41" s="81">
        <f>IFERROR(__xludf.DUMMYFUNCTION("""COMPUTED_VALUE"""),5.0)</f>
        <v>5</v>
      </c>
      <c r="D41" s="81">
        <f>IFERROR(__xludf.DUMMYFUNCTION("""COMPUTED_VALUE"""),3.0)</f>
        <v>3</v>
      </c>
      <c r="E41" s="81">
        <f>IFERROR(__xludf.DUMMYFUNCTION("""COMPUTED_VALUE"""),2.0)</f>
        <v>2</v>
      </c>
    </row>
    <row r="42">
      <c r="A42" s="81" t="str">
        <f>IFERROR(__xludf.DUMMYFUNCTION("""COMPUTED_VALUE"""),"Ivan N")</f>
        <v>Ivan N</v>
      </c>
      <c r="B42" s="81">
        <f>IFERROR(__xludf.DUMMYFUNCTION("""COMPUTED_VALUE"""),2.0)</f>
        <v>2</v>
      </c>
      <c r="C42" s="81">
        <f>IFERROR(__xludf.DUMMYFUNCTION("""COMPUTED_VALUE"""),2.0)</f>
        <v>2</v>
      </c>
      <c r="D42" s="81">
        <f>IFERROR(__xludf.DUMMYFUNCTION("""COMPUTED_VALUE"""),3.0)</f>
        <v>3</v>
      </c>
      <c r="E42" s="81">
        <f>IFERROR(__xludf.DUMMYFUNCTION("""COMPUTED_VALUE"""),2.0)</f>
        <v>2</v>
      </c>
    </row>
    <row r="43">
      <c r="A43" s="81" t="str">
        <f>IFERROR(__xludf.DUMMYFUNCTION("""COMPUTED_VALUE"""),"Albert A")</f>
        <v>Albert A</v>
      </c>
      <c r="B43" s="81">
        <f>IFERROR(__xludf.DUMMYFUNCTION("""COMPUTED_VALUE"""),1.0)</f>
        <v>1</v>
      </c>
      <c r="C43" s="81">
        <f>IFERROR(__xludf.DUMMYFUNCTION("""COMPUTED_VALUE"""),0.0)</f>
        <v>0</v>
      </c>
      <c r="D43" s="81">
        <f>IFERROR(__xludf.DUMMYFUNCTION("""COMPUTED_VALUE"""),3.0)</f>
        <v>3</v>
      </c>
      <c r="E43" s="81">
        <f>IFERROR(__xludf.DUMMYFUNCTION("""COMPUTED_VALUE"""),2.0)</f>
        <v>2</v>
      </c>
    </row>
    <row r="44">
      <c r="A44" s="81" t="str">
        <f>IFERROR(__xludf.DUMMYFUNCTION("""COMPUTED_VALUE"""),"Aria A")</f>
        <v>Aria A</v>
      </c>
      <c r="B44" s="81">
        <f>IFERROR(__xludf.DUMMYFUNCTION("""COMPUTED_VALUE"""),0.0)</f>
        <v>0</v>
      </c>
      <c r="C44" s="81">
        <f>IFERROR(__xludf.DUMMYFUNCTION("""COMPUTED_VALUE"""),1.0)</f>
        <v>1</v>
      </c>
      <c r="D44" s="81">
        <f>IFERROR(__xludf.DUMMYFUNCTION("""COMPUTED_VALUE"""),3.0)</f>
        <v>3</v>
      </c>
      <c r="E44" s="81">
        <f>IFERROR(__xludf.DUMMYFUNCTION("""COMPUTED_VALUE"""),2.0)</f>
        <v>2</v>
      </c>
    </row>
    <row r="45">
      <c r="A45" s="81" t="str">
        <f>IFERROR(__xludf.DUMMYFUNCTION("""COMPUTED_VALUE"""),"Benjamin L")</f>
        <v>Benjamin L</v>
      </c>
      <c r="B45" s="81">
        <f>IFERROR(__xludf.DUMMYFUNCTION("""COMPUTED_VALUE"""),0.0)</f>
        <v>0</v>
      </c>
      <c r="C45" s="81">
        <f>IFERROR(__xludf.DUMMYFUNCTION("""COMPUTED_VALUE"""),0.0)</f>
        <v>0</v>
      </c>
      <c r="D45" s="81">
        <f>IFERROR(__xludf.DUMMYFUNCTION("""COMPUTED_VALUE"""),3.0)</f>
        <v>3</v>
      </c>
      <c r="E45" s="81">
        <f>IFERROR(__xludf.DUMMYFUNCTION("""COMPUTED_VALUE"""),2.0)</f>
        <v>2</v>
      </c>
    </row>
    <row r="46">
      <c r="A46" s="81" t="str">
        <f>IFERROR(__xludf.DUMMYFUNCTION("""COMPUTED_VALUE"""),"Jakob S")</f>
        <v>Jakob S</v>
      </c>
      <c r="B46" s="81">
        <f>IFERROR(__xludf.DUMMYFUNCTION("""COMPUTED_VALUE"""),1.0)</f>
        <v>1</v>
      </c>
      <c r="C46" s="81">
        <f>IFERROR(__xludf.DUMMYFUNCTION("""COMPUTED_VALUE"""),2.0)</f>
        <v>2</v>
      </c>
      <c r="D46" s="81">
        <f>IFERROR(__xludf.DUMMYFUNCTION("""COMPUTED_VALUE"""),3.0)</f>
        <v>3</v>
      </c>
      <c r="E46" s="81">
        <f>IFERROR(__xludf.DUMMYFUNCTION("""COMPUTED_VALUE"""),2.0)</f>
        <v>2</v>
      </c>
    </row>
    <row r="47">
      <c r="A47" s="81" t="str">
        <f>IFERROR(__xludf.DUMMYFUNCTION("""COMPUTED_VALUE"""),"Leo F")</f>
        <v>Leo F</v>
      </c>
      <c r="B47" s="81">
        <f>IFERROR(__xludf.DUMMYFUNCTION("""COMPUTED_VALUE"""),2.0)</f>
        <v>2</v>
      </c>
      <c r="C47" s="81">
        <f>IFERROR(__xludf.DUMMYFUNCTION("""COMPUTED_VALUE"""),1.0)</f>
        <v>1</v>
      </c>
      <c r="D47" s="81">
        <f>IFERROR(__xludf.DUMMYFUNCTION("""COMPUTED_VALUE"""),3.0)</f>
        <v>3</v>
      </c>
      <c r="E47" s="81">
        <f>IFERROR(__xludf.DUMMYFUNCTION("""COMPUTED_VALUE"""),2.0)</f>
        <v>2</v>
      </c>
    </row>
    <row r="48">
      <c r="A48" s="81" t="str">
        <f>IFERROR(__xludf.DUMMYFUNCTION("""COMPUTED_VALUE"""),"Oliver G")</f>
        <v>Oliver G</v>
      </c>
      <c r="B48" s="81">
        <f>IFERROR(__xludf.DUMMYFUNCTION("""COMPUTED_VALUE"""),1.0)</f>
        <v>1</v>
      </c>
      <c r="C48" s="81">
        <f>IFERROR(__xludf.DUMMYFUNCTION("""COMPUTED_VALUE"""),0.0)</f>
        <v>0</v>
      </c>
      <c r="D48" s="81">
        <f>IFERROR(__xludf.DUMMYFUNCTION("""COMPUTED_VALUE"""),3.0)</f>
        <v>3</v>
      </c>
      <c r="E48" s="81">
        <f>IFERROR(__xludf.DUMMYFUNCTION("""COMPUTED_VALUE"""),2.0)</f>
        <v>2</v>
      </c>
    </row>
    <row r="49">
      <c r="A49" s="81" t="str">
        <f>IFERROR(__xludf.DUMMYFUNCTION("""COMPUTED_VALUE"""),"Aria A")</f>
        <v>Aria A</v>
      </c>
      <c r="B49" s="81">
        <f>IFERROR(__xludf.DUMMYFUNCTION("""COMPUTED_VALUE"""),0.0)</f>
        <v>0</v>
      </c>
      <c r="C49" s="81">
        <f>IFERROR(__xludf.DUMMYFUNCTION("""COMPUTED_VALUE"""),0.0)</f>
        <v>0</v>
      </c>
      <c r="D49" s="81">
        <f>IFERROR(__xludf.DUMMYFUNCTION("""COMPUTED_VALUE"""),2.0)</f>
        <v>2</v>
      </c>
      <c r="E49" s="81">
        <f>IFERROR(__xludf.DUMMYFUNCTION("""COMPUTED_VALUE"""),4.0)</f>
        <v>4</v>
      </c>
    </row>
    <row r="50">
      <c r="A50" s="81" t="str">
        <f>IFERROR(__xludf.DUMMYFUNCTION("""COMPUTED_VALUE"""),"Casper W")</f>
        <v>Casper W</v>
      </c>
      <c r="B50" s="81">
        <f>IFERROR(__xludf.DUMMYFUNCTION("""COMPUTED_VALUE"""),0.0)</f>
        <v>0</v>
      </c>
      <c r="C50" s="81">
        <f>IFERROR(__xludf.DUMMYFUNCTION("""COMPUTED_VALUE"""),0.0)</f>
        <v>0</v>
      </c>
      <c r="D50" s="81">
        <f>IFERROR(__xludf.DUMMYFUNCTION("""COMPUTED_VALUE"""),2.0)</f>
        <v>2</v>
      </c>
      <c r="E50" s="81">
        <f>IFERROR(__xludf.DUMMYFUNCTION("""COMPUTED_VALUE"""),4.0)</f>
        <v>4</v>
      </c>
    </row>
    <row r="51">
      <c r="A51" s="81" t="str">
        <f>IFERROR(__xludf.DUMMYFUNCTION("""COMPUTED_VALUE"""),"Eskil K")</f>
        <v>Eskil K</v>
      </c>
      <c r="B51" s="81">
        <f>IFERROR(__xludf.DUMMYFUNCTION("""COMPUTED_VALUE"""),1.0)</f>
        <v>1</v>
      </c>
      <c r="C51" s="81">
        <f>IFERROR(__xludf.DUMMYFUNCTION("""COMPUTED_VALUE"""),0.0)</f>
        <v>0</v>
      </c>
      <c r="D51" s="81">
        <f>IFERROR(__xludf.DUMMYFUNCTION("""COMPUTED_VALUE"""),2.0)</f>
        <v>2</v>
      </c>
      <c r="E51" s="81">
        <f>IFERROR(__xludf.DUMMYFUNCTION("""COMPUTED_VALUE"""),4.0)</f>
        <v>4</v>
      </c>
    </row>
    <row r="52">
      <c r="A52" s="81" t="str">
        <f>IFERROR(__xludf.DUMMYFUNCTION("""COMPUTED_VALUE"""),"Ivan N")</f>
        <v>Ivan N</v>
      </c>
      <c r="B52" s="81">
        <f>IFERROR(__xludf.DUMMYFUNCTION("""COMPUTED_VALUE"""),2.0)</f>
        <v>2</v>
      </c>
      <c r="C52" s="81">
        <f>IFERROR(__xludf.DUMMYFUNCTION("""COMPUTED_VALUE"""),1.0)</f>
        <v>1</v>
      </c>
      <c r="D52" s="81">
        <f>IFERROR(__xludf.DUMMYFUNCTION("""COMPUTED_VALUE"""),2.0)</f>
        <v>2</v>
      </c>
      <c r="E52" s="81">
        <f>IFERROR(__xludf.DUMMYFUNCTION("""COMPUTED_VALUE"""),4.0)</f>
        <v>4</v>
      </c>
    </row>
    <row r="53">
      <c r="A53" s="81" t="str">
        <f>IFERROR(__xludf.DUMMYFUNCTION("""COMPUTED_VALUE"""),"Sebastian E")</f>
        <v>Sebastian E</v>
      </c>
      <c r="B53" s="81">
        <f>IFERROR(__xludf.DUMMYFUNCTION("""COMPUTED_VALUE"""),0.0)</f>
        <v>0</v>
      </c>
      <c r="C53" s="81">
        <f>IFERROR(__xludf.DUMMYFUNCTION("""COMPUTED_VALUE"""),1.0)</f>
        <v>1</v>
      </c>
      <c r="D53" s="81">
        <f>IFERROR(__xludf.DUMMYFUNCTION("""COMPUTED_VALUE"""),2.0)</f>
        <v>2</v>
      </c>
      <c r="E53" s="81">
        <f>IFERROR(__xludf.DUMMYFUNCTION("""COMPUTED_VALUE"""),4.0)</f>
        <v>4</v>
      </c>
    </row>
    <row r="54">
      <c r="A54" s="81" t="str">
        <f>IFERROR(__xludf.DUMMYFUNCTION("""COMPUTED_VALUE"""),"Shahir I")</f>
        <v>Shahir I</v>
      </c>
      <c r="B54" s="81">
        <f>IFERROR(__xludf.DUMMYFUNCTION("""COMPUTED_VALUE"""),0.0)</f>
        <v>0</v>
      </c>
      <c r="C54" s="81">
        <f>IFERROR(__xludf.DUMMYFUNCTION("""COMPUTED_VALUE"""),1.0)</f>
        <v>1</v>
      </c>
      <c r="D54" s="81">
        <f>IFERROR(__xludf.DUMMYFUNCTION("""COMPUTED_VALUE"""),1.0)</f>
        <v>1</v>
      </c>
      <c r="E54" s="81">
        <f>IFERROR(__xludf.DUMMYFUNCTION("""COMPUTED_VALUE"""),5.0)</f>
        <v>5</v>
      </c>
    </row>
    <row r="55">
      <c r="A55" s="81" t="str">
        <f>IFERROR(__xludf.DUMMYFUNCTION("""COMPUTED_VALUE"""),"Benjamin L")</f>
        <v>Benjamin L</v>
      </c>
      <c r="B55" s="81">
        <f>IFERROR(__xludf.DUMMYFUNCTION("""COMPUTED_VALUE"""),0.0)</f>
        <v>0</v>
      </c>
      <c r="C55" s="81">
        <f>IFERROR(__xludf.DUMMYFUNCTION("""COMPUTED_VALUE"""),0.0)</f>
        <v>0</v>
      </c>
      <c r="D55" s="81">
        <f>IFERROR(__xludf.DUMMYFUNCTION("""COMPUTED_VALUE"""),1.0)</f>
        <v>1</v>
      </c>
      <c r="E55" s="81">
        <f>IFERROR(__xludf.DUMMYFUNCTION("""COMPUTED_VALUE"""),5.0)</f>
        <v>5</v>
      </c>
    </row>
    <row r="56">
      <c r="A56" s="81" t="str">
        <f>IFERROR(__xludf.DUMMYFUNCTION("""COMPUTED_VALUE"""),"Oskar R")</f>
        <v>Oskar R</v>
      </c>
      <c r="B56" s="81">
        <f>IFERROR(__xludf.DUMMYFUNCTION("""COMPUTED_VALUE"""),0.0)</f>
        <v>0</v>
      </c>
      <c r="C56" s="81">
        <f>IFERROR(__xludf.DUMMYFUNCTION("""COMPUTED_VALUE"""),0.0)</f>
        <v>0</v>
      </c>
      <c r="D56" s="81">
        <f>IFERROR(__xludf.DUMMYFUNCTION("""COMPUTED_VALUE"""),1.0)</f>
        <v>1</v>
      </c>
      <c r="E56" s="81">
        <f>IFERROR(__xludf.DUMMYFUNCTION("""COMPUTED_VALUE"""),5.0)</f>
        <v>5</v>
      </c>
    </row>
    <row r="57">
      <c r="A57" s="81" t="str">
        <f>IFERROR(__xludf.DUMMYFUNCTION("""COMPUTED_VALUE"""),"Henrik O")</f>
        <v>Henrik O</v>
      </c>
      <c r="B57" s="81">
        <f>IFERROR(__xludf.DUMMYFUNCTION("""COMPUTED_VALUE"""),1.0)</f>
        <v>1</v>
      </c>
      <c r="C57" s="81">
        <f>IFERROR(__xludf.DUMMYFUNCTION("""COMPUTED_VALUE"""),0.0)</f>
        <v>0</v>
      </c>
      <c r="D57" s="81">
        <f>IFERROR(__xludf.DUMMYFUNCTION("""COMPUTED_VALUE"""),1.0)</f>
        <v>1</v>
      </c>
      <c r="E57" s="81">
        <f>IFERROR(__xludf.DUMMYFUNCTION("""COMPUTED_VALUE"""),5.0)</f>
        <v>5</v>
      </c>
    </row>
    <row r="58">
      <c r="A58" s="81" t="str">
        <f>IFERROR(__xludf.DUMMYFUNCTION("""COMPUTED_VALUE"""),"Yvan I")</f>
        <v>Yvan I</v>
      </c>
      <c r="B58" s="81">
        <f>IFERROR(__xludf.DUMMYFUNCTION("""COMPUTED_VALUE"""),1.0)</f>
        <v>1</v>
      </c>
      <c r="C58" s="81">
        <f>IFERROR(__xludf.DUMMYFUNCTION("""COMPUTED_VALUE"""),1.0)</f>
        <v>1</v>
      </c>
      <c r="D58" s="81">
        <f>IFERROR(__xludf.DUMMYFUNCTION("""COMPUTED_VALUE"""),1.0)</f>
        <v>1</v>
      </c>
      <c r="E58" s="81">
        <f>IFERROR(__xludf.DUMMYFUNCTION("""COMPUTED_VALUE"""),5.0)</f>
        <v>5</v>
      </c>
    </row>
    <row r="59">
      <c r="A59" s="81" t="str">
        <f>IFERROR(__xludf.DUMMYFUNCTION("""COMPUTED_VALUE"""),"Ivan N")</f>
        <v>Ivan N</v>
      </c>
      <c r="B59" s="81">
        <f>IFERROR(__xludf.DUMMYFUNCTION("""COMPUTED_VALUE"""),1.0)</f>
        <v>1</v>
      </c>
      <c r="C59" s="81">
        <f>IFERROR(__xludf.DUMMYFUNCTION("""COMPUTED_VALUE"""),1.0)</f>
        <v>1</v>
      </c>
      <c r="D59" s="81">
        <f>IFERROR(__xludf.DUMMYFUNCTION("""COMPUTED_VALUE"""),3.0)</f>
        <v>3</v>
      </c>
      <c r="E59" s="81">
        <f>IFERROR(__xludf.DUMMYFUNCTION("""COMPUTED_VALUE"""),2.0)</f>
        <v>2</v>
      </c>
    </row>
    <row r="60">
      <c r="A60" s="81" t="str">
        <f>IFERROR(__xludf.DUMMYFUNCTION("""COMPUTED_VALUE"""),"Jesper H")</f>
        <v>Jesper H</v>
      </c>
      <c r="B60" s="81">
        <f>IFERROR(__xludf.DUMMYFUNCTION("""COMPUTED_VALUE"""),0.0)</f>
        <v>0</v>
      </c>
      <c r="C60" s="81">
        <f>IFERROR(__xludf.DUMMYFUNCTION("""COMPUTED_VALUE"""),0.0)</f>
        <v>0</v>
      </c>
      <c r="D60" s="81">
        <f>IFERROR(__xludf.DUMMYFUNCTION("""COMPUTED_VALUE"""),3.0)</f>
        <v>3</v>
      </c>
      <c r="E60" s="81">
        <f>IFERROR(__xludf.DUMMYFUNCTION("""COMPUTED_VALUE"""),2.0)</f>
        <v>2</v>
      </c>
    </row>
    <row r="61">
      <c r="A61" s="81" t="str">
        <f>IFERROR(__xludf.DUMMYFUNCTION("""COMPUTED_VALUE"""),"Oliver G")</f>
        <v>Oliver G</v>
      </c>
      <c r="B61" s="81">
        <f>IFERROR(__xludf.DUMMYFUNCTION("""COMPUTED_VALUE"""),2.0)</f>
        <v>2</v>
      </c>
      <c r="C61" s="81">
        <f>IFERROR(__xludf.DUMMYFUNCTION("""COMPUTED_VALUE"""),1.0)</f>
        <v>1</v>
      </c>
      <c r="D61" s="81">
        <f>IFERROR(__xludf.DUMMYFUNCTION("""COMPUTED_VALUE"""),3.0)</f>
        <v>3</v>
      </c>
      <c r="E61" s="81">
        <f>IFERROR(__xludf.DUMMYFUNCTION("""COMPUTED_VALUE"""),2.0)</f>
        <v>2</v>
      </c>
    </row>
    <row r="62">
      <c r="A62" s="81" t="str">
        <f>IFERROR(__xludf.DUMMYFUNCTION("""COMPUTED_VALUE"""),"Pelle A")</f>
        <v>Pelle A</v>
      </c>
      <c r="B62" s="81">
        <f>IFERROR(__xludf.DUMMYFUNCTION("""COMPUTED_VALUE"""),1.0)</f>
        <v>1</v>
      </c>
      <c r="C62" s="81">
        <f>IFERROR(__xludf.DUMMYFUNCTION("""COMPUTED_VALUE"""),1.0)</f>
        <v>1</v>
      </c>
      <c r="D62" s="81">
        <f>IFERROR(__xludf.DUMMYFUNCTION("""COMPUTED_VALUE"""),3.0)</f>
        <v>3</v>
      </c>
      <c r="E62" s="81">
        <f>IFERROR(__xludf.DUMMYFUNCTION("""COMPUTED_VALUE"""),2.0)</f>
        <v>2</v>
      </c>
    </row>
    <row r="63">
      <c r="A63" s="81" t="str">
        <f>IFERROR(__xludf.DUMMYFUNCTION("""COMPUTED_VALUE"""),"Shahir I")</f>
        <v>Shahir I</v>
      </c>
      <c r="B63" s="81">
        <f>IFERROR(__xludf.DUMMYFUNCTION("""COMPUTED_VALUE"""),2.0)</f>
        <v>2</v>
      </c>
      <c r="C63" s="81">
        <f>IFERROR(__xludf.DUMMYFUNCTION("""COMPUTED_VALUE"""),1.0)</f>
        <v>1</v>
      </c>
      <c r="D63" s="81">
        <f>IFERROR(__xludf.DUMMYFUNCTION("""COMPUTED_VALUE"""),3.0)</f>
        <v>3</v>
      </c>
      <c r="E63" s="81">
        <f>IFERROR(__xludf.DUMMYFUNCTION("""COMPUTED_VALUE"""),2.0)</f>
        <v>2</v>
      </c>
    </row>
    <row r="64">
      <c r="A64" s="81" t="str">
        <f>IFERROR(__xludf.DUMMYFUNCTION("""COMPUTED_VALUE"""),"Daniel K")</f>
        <v>Daniel K</v>
      </c>
      <c r="B64" s="81">
        <f>IFERROR(__xludf.DUMMYFUNCTION("""COMPUTED_VALUE"""),3.0)</f>
        <v>3</v>
      </c>
      <c r="C64" s="81">
        <f>IFERROR(__xludf.DUMMYFUNCTION("""COMPUTED_VALUE"""),0.0)</f>
        <v>0</v>
      </c>
      <c r="D64" s="81">
        <f>IFERROR(__xludf.DUMMYFUNCTION("""COMPUTED_VALUE"""),5.0)</f>
        <v>5</v>
      </c>
      <c r="E64" s="81">
        <f>IFERROR(__xludf.DUMMYFUNCTION("""COMPUTED_VALUE"""),3.0)</f>
        <v>3</v>
      </c>
    </row>
    <row r="65">
      <c r="A65" s="81" t="str">
        <f>IFERROR(__xludf.DUMMYFUNCTION("""COMPUTED_VALUE"""),"Dennis F")</f>
        <v>Dennis F</v>
      </c>
      <c r="B65" s="81">
        <f>IFERROR(__xludf.DUMMYFUNCTION("""COMPUTED_VALUE"""),3.0)</f>
        <v>3</v>
      </c>
      <c r="C65" s="81">
        <f>IFERROR(__xludf.DUMMYFUNCTION("""COMPUTED_VALUE"""),0.0)</f>
        <v>0</v>
      </c>
      <c r="D65" s="81">
        <f>IFERROR(__xludf.DUMMYFUNCTION("""COMPUTED_VALUE"""),5.0)</f>
        <v>5</v>
      </c>
      <c r="E65" s="81">
        <f>IFERROR(__xludf.DUMMYFUNCTION("""COMPUTED_VALUE"""),3.0)</f>
        <v>3</v>
      </c>
    </row>
    <row r="66">
      <c r="A66" s="81" t="str">
        <f>IFERROR(__xludf.DUMMYFUNCTION("""COMPUTED_VALUE"""),"George")</f>
        <v>George</v>
      </c>
      <c r="B66" s="81">
        <f>IFERROR(__xludf.DUMMYFUNCTION("""COMPUTED_VALUE"""),0.0)</f>
        <v>0</v>
      </c>
      <c r="C66" s="81">
        <f>IFERROR(__xludf.DUMMYFUNCTION("""COMPUTED_VALUE"""),1.0)</f>
        <v>1</v>
      </c>
      <c r="D66" s="81">
        <f>IFERROR(__xludf.DUMMYFUNCTION("""COMPUTED_VALUE"""),5.0)</f>
        <v>5</v>
      </c>
      <c r="E66" s="81">
        <f>IFERROR(__xludf.DUMMYFUNCTION("""COMPUTED_VALUE"""),3.0)</f>
        <v>3</v>
      </c>
    </row>
    <row r="67">
      <c r="A67" s="81" t="str">
        <f>IFERROR(__xludf.DUMMYFUNCTION("""COMPUTED_VALUE"""),"Ivan N")</f>
        <v>Ivan N</v>
      </c>
      <c r="B67" s="81">
        <f>IFERROR(__xludf.DUMMYFUNCTION("""COMPUTED_VALUE"""),1.0)</f>
        <v>1</v>
      </c>
      <c r="C67" s="81">
        <f>IFERROR(__xludf.DUMMYFUNCTION("""COMPUTED_VALUE"""),5.0)</f>
        <v>5</v>
      </c>
      <c r="D67" s="81">
        <f>IFERROR(__xludf.DUMMYFUNCTION("""COMPUTED_VALUE"""),5.0)</f>
        <v>5</v>
      </c>
      <c r="E67" s="81">
        <f>IFERROR(__xludf.DUMMYFUNCTION("""COMPUTED_VALUE"""),3.0)</f>
        <v>3</v>
      </c>
    </row>
    <row r="68">
      <c r="A68" s="81" t="str">
        <f>IFERROR(__xludf.DUMMYFUNCTION("""COMPUTED_VALUE"""),"Daniel Ö")</f>
        <v>Daniel Ö</v>
      </c>
      <c r="B68" s="81">
        <f>IFERROR(__xludf.DUMMYFUNCTION("""COMPUTED_VALUE"""),5.0)</f>
        <v>5</v>
      </c>
      <c r="C68" s="81">
        <f>IFERROR(__xludf.DUMMYFUNCTION("""COMPUTED_VALUE"""),2.0)</f>
        <v>2</v>
      </c>
      <c r="D68" s="81">
        <f>IFERROR(__xludf.DUMMYFUNCTION("""COMPUTED_VALUE"""),5.0)</f>
        <v>5</v>
      </c>
      <c r="E68" s="81">
        <f>IFERROR(__xludf.DUMMYFUNCTION("""COMPUTED_VALUE"""),3.0)</f>
        <v>3</v>
      </c>
    </row>
    <row r="69">
      <c r="A69" s="81" t="str">
        <f>IFERROR(__xludf.DUMMYFUNCTION("""COMPUTED_VALUE"""),"Oskar R")</f>
        <v>Oskar R</v>
      </c>
      <c r="B69" s="81">
        <f>IFERROR(__xludf.DUMMYFUNCTION("""COMPUTED_VALUE"""),1.0)</f>
        <v>1</v>
      </c>
      <c r="C69" s="81">
        <f>IFERROR(__xludf.DUMMYFUNCTION("""COMPUTED_VALUE"""),3.0)</f>
        <v>3</v>
      </c>
      <c r="D69" s="81">
        <f>IFERROR(__xludf.DUMMYFUNCTION("""COMPUTED_VALUE"""),6.0)</f>
        <v>6</v>
      </c>
      <c r="E69" s="81">
        <f>IFERROR(__xludf.DUMMYFUNCTION("""COMPUTED_VALUE"""),1.0)</f>
        <v>1</v>
      </c>
    </row>
    <row r="70">
      <c r="A70" s="81" t="str">
        <f>IFERROR(__xludf.DUMMYFUNCTION("""COMPUTED_VALUE"""),"Pelle A")</f>
        <v>Pelle A</v>
      </c>
      <c r="B70" s="81">
        <f>IFERROR(__xludf.DUMMYFUNCTION("""COMPUTED_VALUE"""),2.0)</f>
        <v>2</v>
      </c>
      <c r="C70" s="81">
        <f>IFERROR(__xludf.DUMMYFUNCTION("""COMPUTED_VALUE"""),0.0)</f>
        <v>0</v>
      </c>
      <c r="D70" s="81">
        <f>IFERROR(__xludf.DUMMYFUNCTION("""COMPUTED_VALUE"""),6.0)</f>
        <v>6</v>
      </c>
      <c r="E70" s="81">
        <f>IFERROR(__xludf.DUMMYFUNCTION("""COMPUTED_VALUE"""),1.0)</f>
        <v>1</v>
      </c>
    </row>
    <row r="71">
      <c r="A71" s="81" t="str">
        <f>IFERROR(__xludf.DUMMYFUNCTION("""COMPUTED_VALUE"""),"Samuel P")</f>
        <v>Samuel P</v>
      </c>
      <c r="B71" s="81">
        <f>IFERROR(__xludf.DUMMYFUNCTION("""COMPUTED_VALUE"""),1.0)</f>
        <v>1</v>
      </c>
      <c r="C71" s="81">
        <f>IFERROR(__xludf.DUMMYFUNCTION("""COMPUTED_VALUE"""),3.0)</f>
        <v>3</v>
      </c>
      <c r="D71" s="81">
        <f>IFERROR(__xludf.DUMMYFUNCTION("""COMPUTED_VALUE"""),6.0)</f>
        <v>6</v>
      </c>
      <c r="E71" s="81">
        <f>IFERROR(__xludf.DUMMYFUNCTION("""COMPUTED_VALUE"""),1.0)</f>
        <v>1</v>
      </c>
    </row>
    <row r="72">
      <c r="A72" s="81" t="str">
        <f>IFERROR(__xludf.DUMMYFUNCTION("""COMPUTED_VALUE"""),"Joel A")</f>
        <v>Joel A</v>
      </c>
      <c r="B72" s="81">
        <f>IFERROR(__xludf.DUMMYFUNCTION("""COMPUTED_VALUE"""),3.0)</f>
        <v>3</v>
      </c>
      <c r="C72" s="81">
        <f>IFERROR(__xludf.DUMMYFUNCTION("""COMPUTED_VALUE"""),2.0)</f>
        <v>2</v>
      </c>
      <c r="D72" s="81">
        <f>IFERROR(__xludf.DUMMYFUNCTION("""COMPUTED_VALUE"""),6.0)</f>
        <v>6</v>
      </c>
      <c r="E72" s="81">
        <f>IFERROR(__xludf.DUMMYFUNCTION("""COMPUTED_VALUE"""),1.0)</f>
        <v>1</v>
      </c>
    </row>
    <row r="73">
      <c r="A73" s="81" t="str">
        <f>IFERROR(__xludf.DUMMYFUNCTION("""COMPUTED_VALUE"""),"Aria A")</f>
        <v>Aria A</v>
      </c>
      <c r="B73" s="81">
        <f>IFERROR(__xludf.DUMMYFUNCTION("""COMPUTED_VALUE"""),2.0)</f>
        <v>2</v>
      </c>
      <c r="C73" s="81">
        <f>IFERROR(__xludf.DUMMYFUNCTION("""COMPUTED_VALUE"""),0.0)</f>
        <v>0</v>
      </c>
      <c r="D73" s="81">
        <f>IFERROR(__xludf.DUMMYFUNCTION("""COMPUTED_VALUE"""),6.0)</f>
        <v>6</v>
      </c>
      <c r="E73" s="81">
        <f>IFERROR(__xludf.DUMMYFUNCTION("""COMPUTED_VALUE"""),1.0)</f>
        <v>1</v>
      </c>
    </row>
    <row r="74">
      <c r="A74" s="81" t="str">
        <f>IFERROR(__xludf.DUMMYFUNCTION("""COMPUTED_VALUE"""),"Branislav D")</f>
        <v>Branislav D</v>
      </c>
      <c r="B74" s="81">
        <f>IFERROR(__xludf.DUMMYFUNCTION("""COMPUTED_VALUE"""),0.0)</f>
        <v>0</v>
      </c>
      <c r="C74" s="81">
        <f>IFERROR(__xludf.DUMMYFUNCTION("""COMPUTED_VALUE"""),0.0)</f>
        <v>0</v>
      </c>
      <c r="D74" s="81">
        <f>IFERROR(__xludf.DUMMYFUNCTION("""COMPUTED_VALUE"""),0.0)</f>
        <v>0</v>
      </c>
      <c r="E74" s="81">
        <f>IFERROR(__xludf.DUMMYFUNCTION("""COMPUTED_VALUE"""),7.0)</f>
        <v>7</v>
      </c>
    </row>
    <row r="75">
      <c r="A75" s="81" t="str">
        <f>IFERROR(__xludf.DUMMYFUNCTION("""COMPUTED_VALUE"""),"Isak L")</f>
        <v>Isak L</v>
      </c>
      <c r="B75" s="81">
        <f>IFERROR(__xludf.DUMMYFUNCTION("""COMPUTED_VALUE"""),1.0)</f>
        <v>1</v>
      </c>
      <c r="C75" s="81">
        <f>IFERROR(__xludf.DUMMYFUNCTION("""COMPUTED_VALUE"""),2.0)</f>
        <v>2</v>
      </c>
      <c r="D75" s="81">
        <f>IFERROR(__xludf.DUMMYFUNCTION("""COMPUTED_VALUE"""),0.0)</f>
        <v>0</v>
      </c>
      <c r="E75" s="81">
        <f>IFERROR(__xludf.DUMMYFUNCTION("""COMPUTED_VALUE"""),7.0)</f>
        <v>7</v>
      </c>
    </row>
    <row r="76">
      <c r="A76" s="81" t="str">
        <f>IFERROR(__xludf.DUMMYFUNCTION("""COMPUTED_VALUE"""),"Ivan N")</f>
        <v>Ivan N</v>
      </c>
      <c r="B76" s="81">
        <f>IFERROR(__xludf.DUMMYFUNCTION("""COMPUTED_VALUE"""),3.0)</f>
        <v>3</v>
      </c>
      <c r="C76" s="81">
        <f>IFERROR(__xludf.DUMMYFUNCTION("""COMPUTED_VALUE"""),1.0)</f>
        <v>1</v>
      </c>
      <c r="D76" s="81">
        <f>IFERROR(__xludf.DUMMYFUNCTION("""COMPUTED_VALUE"""),0.0)</f>
        <v>0</v>
      </c>
      <c r="E76" s="81">
        <f>IFERROR(__xludf.DUMMYFUNCTION("""COMPUTED_VALUE"""),7.0)</f>
        <v>7</v>
      </c>
    </row>
    <row r="77">
      <c r="A77" s="81" t="str">
        <f>IFERROR(__xludf.DUMMYFUNCTION("""COMPUTED_VALUE"""),"Jesper H")</f>
        <v>Jesper H</v>
      </c>
      <c r="B77" s="81">
        <f>IFERROR(__xludf.DUMMYFUNCTION("""COMPUTED_VALUE"""),0.0)</f>
        <v>0</v>
      </c>
      <c r="C77" s="81">
        <f>IFERROR(__xludf.DUMMYFUNCTION("""COMPUTED_VALUE"""),0.0)</f>
        <v>0</v>
      </c>
      <c r="D77" s="81">
        <f>IFERROR(__xludf.DUMMYFUNCTION("""COMPUTED_VALUE"""),0.0)</f>
        <v>0</v>
      </c>
      <c r="E77" s="81">
        <f>IFERROR(__xludf.DUMMYFUNCTION("""COMPUTED_VALUE"""),7.0)</f>
        <v>7</v>
      </c>
    </row>
    <row r="78">
      <c r="A78" s="81" t="str">
        <f>IFERROR(__xludf.DUMMYFUNCTION("""COMPUTED_VALUE"""),"Pelle A")</f>
        <v>Pelle A</v>
      </c>
      <c r="B78" s="81">
        <f>IFERROR(__xludf.DUMMYFUNCTION("""COMPUTED_VALUE"""),1.0)</f>
        <v>1</v>
      </c>
      <c r="C78" s="81">
        <f>IFERROR(__xludf.DUMMYFUNCTION("""COMPUTED_VALUE"""),2.0)</f>
        <v>2</v>
      </c>
      <c r="D78" s="81">
        <f>IFERROR(__xludf.DUMMYFUNCTION("""COMPUTED_VALUE"""),0.0)</f>
        <v>0</v>
      </c>
      <c r="E78" s="81">
        <f>IFERROR(__xludf.DUMMYFUNCTION("""COMPUTED_VALUE"""),7.0)</f>
        <v>7</v>
      </c>
    </row>
    <row r="79">
      <c r="A79" s="81" t="str">
        <f>IFERROR(__xludf.DUMMYFUNCTION("""COMPUTED_VALUE"""),"Albert A")</f>
        <v>Albert A</v>
      </c>
      <c r="B79" s="81">
        <f>IFERROR(__xludf.DUMMYFUNCTION("""COMPUTED_VALUE"""),1.0)</f>
        <v>1</v>
      </c>
      <c r="C79" s="81">
        <f>IFERROR(__xludf.DUMMYFUNCTION("""COMPUTED_VALUE"""),0.0)</f>
        <v>0</v>
      </c>
      <c r="D79" s="81">
        <f>IFERROR(__xludf.DUMMYFUNCTION("""COMPUTED_VALUE"""),0.0)</f>
        <v>0</v>
      </c>
      <c r="E79" s="81">
        <f>IFERROR(__xludf.DUMMYFUNCTION("""COMPUTED_VALUE"""),6.0)</f>
        <v>6</v>
      </c>
    </row>
    <row r="80">
      <c r="A80" s="81" t="str">
        <f>IFERROR(__xludf.DUMMYFUNCTION("""COMPUTED_VALUE"""),"Jakob S")</f>
        <v>Jakob S</v>
      </c>
      <c r="B80" s="81">
        <f>IFERROR(__xludf.DUMMYFUNCTION("""COMPUTED_VALUE"""),0.0)</f>
        <v>0</v>
      </c>
      <c r="C80" s="81">
        <f>IFERROR(__xludf.DUMMYFUNCTION("""COMPUTED_VALUE"""),2.0)</f>
        <v>2</v>
      </c>
      <c r="D80" s="81">
        <f>IFERROR(__xludf.DUMMYFUNCTION("""COMPUTED_VALUE"""),0.0)</f>
        <v>0</v>
      </c>
      <c r="E80" s="81">
        <f>IFERROR(__xludf.DUMMYFUNCTION("""COMPUTED_VALUE"""),6.0)</f>
        <v>6</v>
      </c>
    </row>
    <row r="81">
      <c r="A81" s="81" t="str">
        <f>IFERROR(__xludf.DUMMYFUNCTION("""COMPUTED_VALUE"""),"Samuel P")</f>
        <v>Samuel P</v>
      </c>
      <c r="B81" s="81">
        <f>IFERROR(__xludf.DUMMYFUNCTION("""COMPUTED_VALUE"""),0.0)</f>
        <v>0</v>
      </c>
      <c r="C81" s="81">
        <f>IFERROR(__xludf.DUMMYFUNCTION("""COMPUTED_VALUE"""),4.0)</f>
        <v>4</v>
      </c>
      <c r="D81" s="81">
        <f>IFERROR(__xludf.DUMMYFUNCTION("""COMPUTED_VALUE"""),0.0)</f>
        <v>0</v>
      </c>
      <c r="E81" s="81">
        <f>IFERROR(__xludf.DUMMYFUNCTION("""COMPUTED_VALUE"""),6.0)</f>
        <v>6</v>
      </c>
    </row>
    <row r="82">
      <c r="A82" s="81" t="str">
        <f>IFERROR(__xludf.DUMMYFUNCTION("""COMPUTED_VALUE"""),"Yvan I")</f>
        <v>Yvan I</v>
      </c>
      <c r="B82" s="81">
        <f>IFERROR(__xludf.DUMMYFUNCTION("""COMPUTED_VALUE"""),3.0)</f>
        <v>3</v>
      </c>
      <c r="C82" s="81">
        <f>IFERROR(__xludf.DUMMYFUNCTION("""COMPUTED_VALUE"""),0.0)</f>
        <v>0</v>
      </c>
      <c r="D82" s="81">
        <f>IFERROR(__xludf.DUMMYFUNCTION("""COMPUTED_VALUE"""),0.0)</f>
        <v>0</v>
      </c>
      <c r="E82" s="81">
        <f>IFERROR(__xludf.DUMMYFUNCTION("""COMPUTED_VALUE"""),6.0)</f>
        <v>6</v>
      </c>
    </row>
    <row r="83">
      <c r="A83" s="81" t="str">
        <f>IFERROR(__xludf.DUMMYFUNCTION("""COMPUTED_VALUE"""),"Dennis F")</f>
        <v>Dennis F</v>
      </c>
      <c r="B83" s="81">
        <f>IFERROR(__xludf.DUMMYFUNCTION("""COMPUTED_VALUE"""),5.0)</f>
        <v>5</v>
      </c>
      <c r="C83" s="81">
        <f>IFERROR(__xludf.DUMMYFUNCTION("""COMPUTED_VALUE"""),1.0)</f>
        <v>1</v>
      </c>
      <c r="D83" s="81">
        <f>IFERROR(__xludf.DUMMYFUNCTION("""COMPUTED_VALUE"""),3.0)</f>
        <v>3</v>
      </c>
      <c r="E83" s="81">
        <f>IFERROR(__xludf.DUMMYFUNCTION("""COMPUTED_VALUE"""),2.0)</f>
        <v>2</v>
      </c>
    </row>
    <row r="84">
      <c r="A84" s="81" t="str">
        <f>IFERROR(__xludf.DUMMYFUNCTION("""COMPUTED_VALUE"""),"Daniel K")</f>
        <v>Daniel K</v>
      </c>
      <c r="B84" s="81">
        <f>IFERROR(__xludf.DUMMYFUNCTION("""COMPUTED_VALUE"""),2.0)</f>
        <v>2</v>
      </c>
      <c r="C84" s="81">
        <f>IFERROR(__xludf.DUMMYFUNCTION("""COMPUTED_VALUE"""),0.0)</f>
        <v>0</v>
      </c>
      <c r="D84" s="81">
        <f>IFERROR(__xludf.DUMMYFUNCTION("""COMPUTED_VALUE"""),3.0)</f>
        <v>3</v>
      </c>
      <c r="E84" s="81">
        <f>IFERROR(__xludf.DUMMYFUNCTION("""COMPUTED_VALUE"""),2.0)</f>
        <v>2</v>
      </c>
    </row>
    <row r="85">
      <c r="A85" s="81" t="str">
        <f>IFERROR(__xludf.DUMMYFUNCTION("""COMPUTED_VALUE"""),"Jakob S")</f>
        <v>Jakob S</v>
      </c>
      <c r="B85" s="81">
        <f>IFERROR(__xludf.DUMMYFUNCTION("""COMPUTED_VALUE"""),0.0)</f>
        <v>0</v>
      </c>
      <c r="C85" s="81">
        <f>IFERROR(__xludf.DUMMYFUNCTION("""COMPUTED_VALUE"""),4.0)</f>
        <v>4</v>
      </c>
      <c r="D85" s="81">
        <f>IFERROR(__xludf.DUMMYFUNCTION("""COMPUTED_VALUE"""),3.0)</f>
        <v>3</v>
      </c>
      <c r="E85" s="81">
        <f>IFERROR(__xludf.DUMMYFUNCTION("""COMPUTED_VALUE"""),2.0)</f>
        <v>2</v>
      </c>
    </row>
    <row r="86">
      <c r="A86" s="81" t="str">
        <f>IFERROR(__xludf.DUMMYFUNCTION("""COMPUTED_VALUE"""),"Oliver G")</f>
        <v>Oliver G</v>
      </c>
      <c r="B86" s="81">
        <f>IFERROR(__xludf.DUMMYFUNCTION("""COMPUTED_VALUE"""),1.0)</f>
        <v>1</v>
      </c>
      <c r="C86" s="81">
        <f>IFERROR(__xludf.DUMMYFUNCTION("""COMPUTED_VALUE"""),2.0)</f>
        <v>2</v>
      </c>
      <c r="D86" s="81">
        <f>IFERROR(__xludf.DUMMYFUNCTION("""COMPUTED_VALUE"""),3.0)</f>
        <v>3</v>
      </c>
      <c r="E86" s="81">
        <f>IFERROR(__xludf.DUMMYFUNCTION("""COMPUTED_VALUE"""),2.0)</f>
        <v>2</v>
      </c>
    </row>
    <row r="87">
      <c r="A87" s="81" t="str">
        <f>IFERROR(__xludf.DUMMYFUNCTION("""COMPUTED_VALUE"""),"Isak L")</f>
        <v>Isak L</v>
      </c>
      <c r="B87" s="81">
        <f>IFERROR(__xludf.DUMMYFUNCTION("""COMPUTED_VALUE"""),1.0)</f>
        <v>1</v>
      </c>
      <c r="C87" s="81">
        <f>IFERROR(__xludf.DUMMYFUNCTION("""COMPUTED_VALUE"""),0.0)</f>
        <v>0</v>
      </c>
      <c r="D87" s="81">
        <f>IFERROR(__xludf.DUMMYFUNCTION("""COMPUTED_VALUE"""),3.0)</f>
        <v>3</v>
      </c>
      <c r="E87" s="81">
        <f>IFERROR(__xludf.DUMMYFUNCTION("""COMPUTED_VALUE"""),2.0)</f>
        <v>2</v>
      </c>
    </row>
    <row r="88">
      <c r="A88" s="81" t="str">
        <f>IFERROR(__xludf.DUMMYFUNCTION("""COMPUTED_VALUE"""),"Samuel P")</f>
        <v>Samuel P</v>
      </c>
      <c r="B88" s="81">
        <f>IFERROR(__xludf.DUMMYFUNCTION("""COMPUTED_VALUE"""),3.0)</f>
        <v>3</v>
      </c>
      <c r="C88" s="81">
        <f>IFERROR(__xludf.DUMMYFUNCTION("""COMPUTED_VALUE"""),5.0)</f>
        <v>5</v>
      </c>
      <c r="D88" s="81">
        <f>IFERROR(__xludf.DUMMYFUNCTION("""COMPUTED_VALUE"""),3.0)</f>
        <v>3</v>
      </c>
      <c r="E88" s="81">
        <f>IFERROR(__xludf.DUMMYFUNCTION("""COMPUTED_VALUE"""),5.0)</f>
        <v>5</v>
      </c>
    </row>
    <row r="89">
      <c r="A89" s="81" t="str">
        <f>IFERROR(__xludf.DUMMYFUNCTION("""COMPUTED_VALUE"""),"Ivan N")</f>
        <v>Ivan N</v>
      </c>
      <c r="B89" s="81">
        <f>IFERROR(__xludf.DUMMYFUNCTION("""COMPUTED_VALUE"""),4.0)</f>
        <v>4</v>
      </c>
      <c r="C89" s="81">
        <f>IFERROR(__xludf.DUMMYFUNCTION("""COMPUTED_VALUE"""),1.0)</f>
        <v>1</v>
      </c>
      <c r="D89" s="81">
        <f>IFERROR(__xludf.DUMMYFUNCTION("""COMPUTED_VALUE"""),3.0)</f>
        <v>3</v>
      </c>
      <c r="E89" s="81">
        <f>IFERROR(__xludf.DUMMYFUNCTION("""COMPUTED_VALUE"""),5.0)</f>
        <v>5</v>
      </c>
    </row>
    <row r="90">
      <c r="A90" s="81" t="str">
        <f>IFERROR(__xludf.DUMMYFUNCTION("""COMPUTED_VALUE"""),"George T")</f>
        <v>George T</v>
      </c>
      <c r="B90" s="81">
        <f>IFERROR(__xludf.DUMMYFUNCTION("""COMPUTED_VALUE"""),1.0)</f>
        <v>1</v>
      </c>
      <c r="C90" s="81">
        <f>IFERROR(__xludf.DUMMYFUNCTION("""COMPUTED_VALUE"""),0.0)</f>
        <v>0</v>
      </c>
      <c r="D90" s="81">
        <f>IFERROR(__xludf.DUMMYFUNCTION("""COMPUTED_VALUE"""),3.0)</f>
        <v>3</v>
      </c>
      <c r="E90" s="81">
        <f>IFERROR(__xludf.DUMMYFUNCTION("""COMPUTED_VALUE"""),5.0)</f>
        <v>5</v>
      </c>
    </row>
    <row r="91">
      <c r="A91" s="81" t="str">
        <f>IFERROR(__xludf.DUMMYFUNCTION("""COMPUTED_VALUE"""),"Jonathan X")</f>
        <v>Jonathan X</v>
      </c>
      <c r="B91" s="81">
        <f>IFERROR(__xludf.DUMMYFUNCTION("""COMPUTED_VALUE"""),0.0)</f>
        <v>0</v>
      </c>
      <c r="C91" s="81">
        <f>IFERROR(__xludf.DUMMYFUNCTION("""COMPUTED_VALUE"""),0.0)</f>
        <v>0</v>
      </c>
      <c r="D91" s="81">
        <f>IFERROR(__xludf.DUMMYFUNCTION("""COMPUTED_VALUE"""),3.0)</f>
        <v>3</v>
      </c>
      <c r="E91" s="81">
        <f>IFERROR(__xludf.DUMMYFUNCTION("""COMPUTED_VALUE"""),5.0)</f>
        <v>5</v>
      </c>
    </row>
    <row r="92">
      <c r="A92" s="81" t="str">
        <f>IFERROR(__xludf.DUMMYFUNCTION("""COMPUTED_VALUE"""),"Daniel K")</f>
        <v>Daniel K</v>
      </c>
      <c r="B92" s="81">
        <f>IFERROR(__xludf.DUMMYFUNCTION("""COMPUTED_VALUE"""),0.0)</f>
        <v>0</v>
      </c>
      <c r="C92" s="81">
        <f>IFERROR(__xludf.DUMMYFUNCTION("""COMPUTED_VALUE"""),1.0)</f>
        <v>1</v>
      </c>
      <c r="D92" s="81">
        <f>IFERROR(__xludf.DUMMYFUNCTION("""COMPUTED_VALUE"""),5.0)</f>
        <v>5</v>
      </c>
      <c r="E92" s="81">
        <f>IFERROR(__xludf.DUMMYFUNCTION("""COMPUTED_VALUE"""),4.0)</f>
        <v>4</v>
      </c>
    </row>
    <row r="93">
      <c r="A93" s="81" t="str">
        <f>IFERROR(__xludf.DUMMYFUNCTION("""COMPUTED_VALUE"""),"Shahir I")</f>
        <v>Shahir I</v>
      </c>
      <c r="B93" s="81">
        <f>IFERROR(__xludf.DUMMYFUNCTION("""COMPUTED_VALUE"""),0.0)</f>
        <v>0</v>
      </c>
      <c r="C93" s="81">
        <f>IFERROR(__xludf.DUMMYFUNCTION("""COMPUTED_VALUE"""),0.0)</f>
        <v>0</v>
      </c>
      <c r="D93" s="81">
        <f>IFERROR(__xludf.DUMMYFUNCTION("""COMPUTED_VALUE"""),5.0)</f>
        <v>5</v>
      </c>
      <c r="E93" s="81">
        <f>IFERROR(__xludf.DUMMYFUNCTION("""COMPUTED_VALUE"""),4.0)</f>
        <v>4</v>
      </c>
    </row>
    <row r="94">
      <c r="A94" s="81" t="str">
        <f>IFERROR(__xludf.DUMMYFUNCTION("""COMPUTED_VALUE"""),"Milos G")</f>
        <v>Milos G</v>
      </c>
      <c r="B94" s="81">
        <f>IFERROR(__xludf.DUMMYFUNCTION("""COMPUTED_VALUE"""),5.0)</f>
        <v>5</v>
      </c>
      <c r="C94" s="81">
        <f>IFERROR(__xludf.DUMMYFUNCTION("""COMPUTED_VALUE"""),3.0)</f>
        <v>3</v>
      </c>
      <c r="D94" s="81">
        <f>IFERROR(__xludf.DUMMYFUNCTION("""COMPUTED_VALUE"""),5.0)</f>
        <v>5</v>
      </c>
      <c r="E94" s="81">
        <f>IFERROR(__xludf.DUMMYFUNCTION("""COMPUTED_VALUE"""),4.0)</f>
        <v>4</v>
      </c>
    </row>
    <row r="95">
      <c r="A95" s="81" t="str">
        <f>IFERROR(__xludf.DUMMYFUNCTION("""COMPUTED_VALUE"""),"Oskar R")</f>
        <v>Oskar R</v>
      </c>
      <c r="B95" s="81">
        <f>IFERROR(__xludf.DUMMYFUNCTION("""COMPUTED_VALUE"""),2.0)</f>
        <v>2</v>
      </c>
      <c r="C95" s="81">
        <f>IFERROR(__xludf.DUMMYFUNCTION("""COMPUTED_VALUE"""),1.0)</f>
        <v>1</v>
      </c>
      <c r="D95" s="81">
        <f>IFERROR(__xludf.DUMMYFUNCTION("""COMPUTED_VALUE"""),5.0)</f>
        <v>5</v>
      </c>
      <c r="E95" s="81">
        <f>IFERROR(__xludf.DUMMYFUNCTION("""COMPUTED_VALUE"""),4.0)</f>
        <v>4</v>
      </c>
    </row>
    <row r="96">
      <c r="A96" s="81" t="str">
        <f>IFERROR(__xludf.DUMMYFUNCTION("""COMPUTED_VALUE"""),"Jakob S")</f>
        <v>Jakob S</v>
      </c>
      <c r="B96" s="81">
        <f>IFERROR(__xludf.DUMMYFUNCTION("""COMPUTED_VALUE"""),2.0)</f>
        <v>2</v>
      </c>
      <c r="C96" s="81">
        <f>IFERROR(__xludf.DUMMYFUNCTION("""COMPUTED_VALUE"""),3.0)</f>
        <v>3</v>
      </c>
      <c r="D96" s="81">
        <f>IFERROR(__xludf.DUMMYFUNCTION("""COMPUTED_VALUE"""),5.0)</f>
        <v>5</v>
      </c>
      <c r="E96" s="81">
        <f>IFERROR(__xludf.DUMMYFUNCTION("""COMPUTED_VALUE"""),4.0)</f>
        <v>4</v>
      </c>
    </row>
    <row r="97">
      <c r="A97" s="81" t="str">
        <f>IFERROR(__xludf.DUMMYFUNCTION("""COMPUTED_VALUE"""),"Branislav D")</f>
        <v>Branislav D</v>
      </c>
      <c r="B97" s="81">
        <f>IFERROR(__xludf.DUMMYFUNCTION("""COMPUTED_VALUE"""),5.0)</f>
        <v>5</v>
      </c>
      <c r="C97" s="81">
        <f>IFERROR(__xludf.DUMMYFUNCTION("""COMPUTED_VALUE"""),2.0)</f>
        <v>2</v>
      </c>
      <c r="D97" s="81">
        <f>IFERROR(__xludf.DUMMYFUNCTION("""COMPUTED_VALUE"""),5.0)</f>
        <v>5</v>
      </c>
      <c r="E97" s="81">
        <f>IFERROR(__xludf.DUMMYFUNCTION("""COMPUTED_VALUE"""),1.0)</f>
        <v>1</v>
      </c>
    </row>
    <row r="98">
      <c r="A98" s="81" t="str">
        <f>IFERROR(__xludf.DUMMYFUNCTION("""COMPUTED_VALUE"""),"Oliver G")</f>
        <v>Oliver G</v>
      </c>
      <c r="B98" s="81">
        <f>IFERROR(__xludf.DUMMYFUNCTION("""COMPUTED_VALUE"""),3.0)</f>
        <v>3</v>
      </c>
      <c r="C98" s="81">
        <f>IFERROR(__xludf.DUMMYFUNCTION("""COMPUTED_VALUE"""),3.0)</f>
        <v>3</v>
      </c>
      <c r="D98" s="81">
        <f>IFERROR(__xludf.DUMMYFUNCTION("""COMPUTED_VALUE"""),5.0)</f>
        <v>5</v>
      </c>
      <c r="E98" s="81">
        <f>IFERROR(__xludf.DUMMYFUNCTION("""COMPUTED_VALUE"""),1.0)</f>
        <v>1</v>
      </c>
    </row>
    <row r="99">
      <c r="A99" s="81" t="str">
        <f>IFERROR(__xludf.DUMMYFUNCTION("""COMPUTED_VALUE"""),"Oskar R")</f>
        <v>Oskar R</v>
      </c>
      <c r="B99" s="81">
        <f>IFERROR(__xludf.DUMMYFUNCTION("""COMPUTED_VALUE"""),1.0)</f>
        <v>1</v>
      </c>
      <c r="C99" s="81">
        <f>IFERROR(__xludf.DUMMYFUNCTION("""COMPUTED_VALUE"""),2.0)</f>
        <v>2</v>
      </c>
      <c r="D99" s="81">
        <f>IFERROR(__xludf.DUMMYFUNCTION("""COMPUTED_VALUE"""),5.0)</f>
        <v>5</v>
      </c>
      <c r="E99" s="81">
        <f>IFERROR(__xludf.DUMMYFUNCTION("""COMPUTED_VALUE"""),1.0)</f>
        <v>1</v>
      </c>
    </row>
    <row r="100">
      <c r="A100" s="81" t="str">
        <f>IFERROR(__xludf.DUMMYFUNCTION("""COMPUTED_VALUE"""),"Magnus D")</f>
        <v>Magnus D</v>
      </c>
      <c r="B100" s="81">
        <f>IFERROR(__xludf.DUMMYFUNCTION("""COMPUTED_VALUE"""),1.0)</f>
        <v>1</v>
      </c>
      <c r="C100" s="81">
        <f>IFERROR(__xludf.DUMMYFUNCTION("""COMPUTED_VALUE"""),3.0)</f>
        <v>3</v>
      </c>
      <c r="D100" s="81">
        <f>IFERROR(__xludf.DUMMYFUNCTION("""COMPUTED_VALUE"""),5.0)</f>
        <v>5</v>
      </c>
      <c r="E100" s="81">
        <f>IFERROR(__xludf.DUMMYFUNCTION("""COMPUTED_VALUE"""),1.0)</f>
        <v>1</v>
      </c>
    </row>
    <row r="101">
      <c r="A101" s="81" t="str">
        <f>IFERROR(__xludf.DUMMYFUNCTION("""COMPUTED_VALUE"""),"Shoresh A")</f>
        <v>Shoresh A</v>
      </c>
      <c r="B101" s="81">
        <f>IFERROR(__xludf.DUMMYFUNCTION("""COMPUTED_VALUE"""),2.0)</f>
        <v>2</v>
      </c>
      <c r="C101" s="81">
        <f>IFERROR(__xludf.DUMMYFUNCTION("""COMPUTED_VALUE"""),1.0)</f>
        <v>1</v>
      </c>
      <c r="D101" s="81">
        <f>IFERROR(__xludf.DUMMYFUNCTION("""COMPUTED_VALUE"""),6.0)</f>
        <v>6</v>
      </c>
      <c r="E101" s="81">
        <f>IFERROR(__xludf.DUMMYFUNCTION("""COMPUTED_VALUE"""),0.0)</f>
        <v>0</v>
      </c>
    </row>
    <row r="102">
      <c r="A102" s="81" t="str">
        <f>IFERROR(__xludf.DUMMYFUNCTION("""COMPUTED_VALUE"""),"Fredrik C")</f>
        <v>Fredrik C</v>
      </c>
      <c r="B102" s="81">
        <f>IFERROR(__xludf.DUMMYFUNCTION("""COMPUTED_VALUE"""),3.0)</f>
        <v>3</v>
      </c>
      <c r="C102" s="81">
        <f>IFERROR(__xludf.DUMMYFUNCTION("""COMPUTED_VALUE"""),4.0)</f>
        <v>4</v>
      </c>
      <c r="D102" s="81">
        <f>IFERROR(__xludf.DUMMYFUNCTION("""COMPUTED_VALUE"""),6.0)</f>
        <v>6</v>
      </c>
      <c r="E102" s="81">
        <f>IFERROR(__xludf.DUMMYFUNCTION("""COMPUTED_VALUE"""),0.0)</f>
        <v>0</v>
      </c>
    </row>
    <row r="103">
      <c r="A103" s="81" t="str">
        <f>IFERROR(__xludf.DUMMYFUNCTION("""COMPUTED_VALUE"""),"Branislav D")</f>
        <v>Branislav D</v>
      </c>
      <c r="B103" s="81">
        <f>IFERROR(__xludf.DUMMYFUNCTION("""COMPUTED_VALUE"""),4.0)</f>
        <v>4</v>
      </c>
      <c r="C103" s="81">
        <f>IFERROR(__xludf.DUMMYFUNCTION("""COMPUTED_VALUE"""),3.0)</f>
        <v>3</v>
      </c>
      <c r="D103" s="81">
        <f>IFERROR(__xludf.DUMMYFUNCTION("""COMPUTED_VALUE"""),6.0)</f>
        <v>6</v>
      </c>
      <c r="E103" s="81">
        <f>IFERROR(__xludf.DUMMYFUNCTION("""COMPUTED_VALUE"""),0.0)</f>
        <v>0</v>
      </c>
    </row>
    <row r="104">
      <c r="A104" s="81" t="str">
        <f>IFERROR(__xludf.DUMMYFUNCTION("""COMPUTED_VALUE"""),"Jakob S")</f>
        <v>Jakob S</v>
      </c>
      <c r="B104" s="81">
        <f>IFERROR(__xludf.DUMMYFUNCTION("""COMPUTED_VALUE"""),7.0)</f>
        <v>7</v>
      </c>
      <c r="C104" s="81">
        <f>IFERROR(__xludf.DUMMYFUNCTION("""COMPUTED_VALUE"""),2.0)</f>
        <v>2</v>
      </c>
      <c r="D104" s="81">
        <f>IFERROR(__xludf.DUMMYFUNCTION("""COMPUTED_VALUE"""),6.0)</f>
        <v>6</v>
      </c>
      <c r="E104" s="81">
        <f>IFERROR(__xludf.DUMMYFUNCTION("""COMPUTED_VALUE"""),0.0)</f>
        <v>0</v>
      </c>
    </row>
    <row r="105">
      <c r="A105" s="81" t="str">
        <f>IFERROR(__xludf.DUMMYFUNCTION("""COMPUTED_VALUE"""),"Sebastian E")</f>
        <v>Sebastian E</v>
      </c>
      <c r="B105" s="81">
        <f>IFERROR(__xludf.DUMMYFUNCTION("""COMPUTED_VALUE"""),0.0)</f>
        <v>0</v>
      </c>
      <c r="C105" s="81">
        <f>IFERROR(__xludf.DUMMYFUNCTION("""COMPUTED_VALUE"""),2.0)</f>
        <v>2</v>
      </c>
      <c r="D105" s="81">
        <f>IFERROR(__xludf.DUMMYFUNCTION("""COMPUTED_VALUE"""),6.0)</f>
        <v>6</v>
      </c>
      <c r="E105" s="81">
        <f>IFERROR(__xludf.DUMMYFUNCTION("""COMPUTED_VALUE"""),0.0)</f>
        <v>0</v>
      </c>
    </row>
    <row r="106">
      <c r="A106" s="81" t="str">
        <f>IFERROR(__xludf.DUMMYFUNCTION("""COMPUTED_VALUE"""),"Oliver G")</f>
        <v>Oliver G</v>
      </c>
      <c r="B106" s="81">
        <f>IFERROR(__xludf.DUMMYFUNCTION("""COMPUTED_VALUE"""),4.0)</f>
        <v>4</v>
      </c>
      <c r="C106" s="81">
        <f>IFERROR(__xludf.DUMMYFUNCTION("""COMPUTED_VALUE"""),0.0)</f>
        <v>0</v>
      </c>
      <c r="D106" s="81">
        <f>IFERROR(__xludf.DUMMYFUNCTION("""COMPUTED_VALUE"""),1.0)</f>
        <v>1</v>
      </c>
      <c r="E106" s="81">
        <f>IFERROR(__xludf.DUMMYFUNCTION("""COMPUTED_VALUE"""),7.0)</f>
        <v>7</v>
      </c>
    </row>
    <row r="107">
      <c r="A107" s="81" t="str">
        <f>IFERROR(__xludf.DUMMYFUNCTION("""COMPUTED_VALUE"""),"Mattias R")</f>
        <v>Mattias R</v>
      </c>
      <c r="B107" s="81">
        <f>IFERROR(__xludf.DUMMYFUNCTION("""COMPUTED_VALUE"""),0.0)</f>
        <v>0</v>
      </c>
      <c r="C107" s="81">
        <f>IFERROR(__xludf.DUMMYFUNCTION("""COMPUTED_VALUE"""),2.0)</f>
        <v>2</v>
      </c>
      <c r="D107" s="81">
        <f>IFERROR(__xludf.DUMMYFUNCTION("""COMPUTED_VALUE"""),1.0)</f>
        <v>1</v>
      </c>
      <c r="E107" s="81">
        <f>IFERROR(__xludf.DUMMYFUNCTION("""COMPUTED_VALUE"""),7.0)</f>
        <v>7</v>
      </c>
    </row>
    <row r="108">
      <c r="A108" s="81" t="str">
        <f>IFERROR(__xludf.DUMMYFUNCTION("""COMPUTED_VALUE"""),"Samuel P")</f>
        <v>Samuel P</v>
      </c>
      <c r="B108" s="81">
        <f>IFERROR(__xludf.DUMMYFUNCTION("""COMPUTED_VALUE"""),0.0)</f>
        <v>0</v>
      </c>
      <c r="C108" s="81">
        <f>IFERROR(__xludf.DUMMYFUNCTION("""COMPUTED_VALUE"""),2.0)</f>
        <v>2</v>
      </c>
      <c r="D108" s="81">
        <f>IFERROR(__xludf.DUMMYFUNCTION("""COMPUTED_VALUE"""),1.0)</f>
        <v>1</v>
      </c>
      <c r="E108" s="81">
        <f>IFERROR(__xludf.DUMMYFUNCTION("""COMPUTED_VALUE"""),7.0)</f>
        <v>7</v>
      </c>
    </row>
    <row r="109">
      <c r="A109" s="81" t="str">
        <f>IFERROR(__xludf.DUMMYFUNCTION("""COMPUTED_VALUE"""),"Casper W")</f>
        <v>Casper W</v>
      </c>
      <c r="B109" s="81">
        <f>IFERROR(__xludf.DUMMYFUNCTION("""COMPUTED_VALUE"""),1.0)</f>
        <v>1</v>
      </c>
      <c r="C109" s="81">
        <f>IFERROR(__xludf.DUMMYFUNCTION("""COMPUTED_VALUE"""),1.0)</f>
        <v>1</v>
      </c>
      <c r="D109" s="81">
        <f>IFERROR(__xludf.DUMMYFUNCTION("""COMPUTED_VALUE"""),1.0)</f>
        <v>1</v>
      </c>
      <c r="E109" s="81">
        <f>IFERROR(__xludf.DUMMYFUNCTION("""COMPUTED_VALUE"""),7.0)</f>
        <v>7</v>
      </c>
    </row>
    <row r="110">
      <c r="A110" s="81" t="str">
        <f>IFERROR(__xludf.DUMMYFUNCTION("""COMPUTED_VALUE"""),"Albert A")</f>
        <v>Albert A</v>
      </c>
      <c r="B110" s="81">
        <f>IFERROR(__xludf.DUMMYFUNCTION("""COMPUTED_VALUE"""),0.0)</f>
        <v>0</v>
      </c>
      <c r="C110" s="81">
        <f>IFERROR(__xludf.DUMMYFUNCTION("""COMPUTED_VALUE"""),1.0)</f>
        <v>1</v>
      </c>
      <c r="D110" s="81">
        <f>IFERROR(__xludf.DUMMYFUNCTION("""COMPUTED_VALUE"""),1.0)</f>
        <v>1</v>
      </c>
      <c r="E110" s="81">
        <f>IFERROR(__xludf.DUMMYFUNCTION("""COMPUTED_VALUE"""),1.0)</f>
        <v>1</v>
      </c>
    </row>
    <row r="111">
      <c r="A111" s="81" t="str">
        <f>IFERROR(__xludf.DUMMYFUNCTION("""COMPUTED_VALUE"""),"Benjamin L")</f>
        <v>Benjamin L</v>
      </c>
      <c r="B111" s="81">
        <f>IFERROR(__xludf.DUMMYFUNCTION("""COMPUTED_VALUE"""),0.0)</f>
        <v>0</v>
      </c>
      <c r="C111" s="81">
        <f>IFERROR(__xludf.DUMMYFUNCTION("""COMPUTED_VALUE"""),0.0)</f>
        <v>0</v>
      </c>
      <c r="D111" s="81">
        <f>IFERROR(__xludf.DUMMYFUNCTION("""COMPUTED_VALUE"""),1.0)</f>
        <v>1</v>
      </c>
      <c r="E111" s="81">
        <f>IFERROR(__xludf.DUMMYFUNCTION("""COMPUTED_VALUE"""),1.0)</f>
        <v>1</v>
      </c>
    </row>
    <row r="112">
      <c r="A112" s="81" t="str">
        <f>IFERROR(__xludf.DUMMYFUNCTION("""COMPUTED_VALUE"""),"Daniel Ö")</f>
        <v>Daniel Ö</v>
      </c>
      <c r="B112" s="81">
        <f>IFERROR(__xludf.DUMMYFUNCTION("""COMPUTED_VALUE"""),1.0)</f>
        <v>1</v>
      </c>
      <c r="C112" s="81">
        <f>IFERROR(__xludf.DUMMYFUNCTION("""COMPUTED_VALUE"""),1.0)</f>
        <v>1</v>
      </c>
      <c r="D112" s="81">
        <f>IFERROR(__xludf.DUMMYFUNCTION("""COMPUTED_VALUE"""),1.0)</f>
        <v>1</v>
      </c>
      <c r="E112" s="81">
        <f>IFERROR(__xludf.DUMMYFUNCTION("""COMPUTED_VALUE"""),1.0)</f>
        <v>1</v>
      </c>
    </row>
    <row r="113">
      <c r="A113" s="81" t="str">
        <f>IFERROR(__xludf.DUMMYFUNCTION("""COMPUTED_VALUE"""),"Milos G")</f>
        <v>Milos G</v>
      </c>
      <c r="B113" s="81">
        <f>IFERROR(__xludf.DUMMYFUNCTION("""COMPUTED_VALUE"""),3.0)</f>
        <v>3</v>
      </c>
      <c r="C113" s="81">
        <f>IFERROR(__xludf.DUMMYFUNCTION("""COMPUTED_VALUE"""),0.0)</f>
        <v>0</v>
      </c>
      <c r="D113" s="81">
        <f>IFERROR(__xludf.DUMMYFUNCTION("""COMPUTED_VALUE"""),1.0)</f>
        <v>1</v>
      </c>
      <c r="E113" s="81">
        <f>IFERROR(__xludf.DUMMYFUNCTION("""COMPUTED_VALUE"""),1.0)</f>
        <v>1</v>
      </c>
    </row>
    <row r="114">
      <c r="A114" s="81" t="str">
        <f>IFERROR(__xludf.DUMMYFUNCTION("""COMPUTED_VALUE"""),"Oskar R")</f>
        <v>Oskar R</v>
      </c>
      <c r="B114" s="81">
        <f>IFERROR(__xludf.DUMMYFUNCTION("""COMPUTED_VALUE"""),1.0)</f>
        <v>1</v>
      </c>
      <c r="C114" s="81">
        <f>IFERROR(__xludf.DUMMYFUNCTION("""COMPUTED_VALUE"""),3.0)</f>
        <v>3</v>
      </c>
      <c r="D114" s="81">
        <f>IFERROR(__xludf.DUMMYFUNCTION("""COMPUTED_VALUE"""),1.0)</f>
        <v>1</v>
      </c>
      <c r="E114" s="81">
        <f>IFERROR(__xludf.DUMMYFUNCTION("""COMPUTED_VALUE"""),1.0)</f>
        <v>1</v>
      </c>
    </row>
    <row r="115">
      <c r="A115" s="81" t="str">
        <f>IFERROR(__xludf.DUMMYFUNCTION("""COMPUTED_VALUE"""),"Casper W")</f>
        <v>Casper W</v>
      </c>
      <c r="B115" s="81">
        <f>IFERROR(__xludf.DUMMYFUNCTION("""COMPUTED_VALUE"""),3.0)</f>
        <v>3</v>
      </c>
      <c r="C115" s="81">
        <f>IFERROR(__xludf.DUMMYFUNCTION("""COMPUTED_VALUE"""),0.0)</f>
        <v>0</v>
      </c>
      <c r="D115" s="81">
        <f>IFERROR(__xludf.DUMMYFUNCTION("""COMPUTED_VALUE"""),3.0)</f>
        <v>3</v>
      </c>
      <c r="E115" s="81">
        <f>IFERROR(__xludf.DUMMYFUNCTION("""COMPUTED_VALUE"""),3.0)</f>
        <v>3</v>
      </c>
    </row>
    <row r="116">
      <c r="A116" s="81" t="str">
        <f>IFERROR(__xludf.DUMMYFUNCTION("""COMPUTED_VALUE"""),"Sebastian E")</f>
        <v>Sebastian E</v>
      </c>
      <c r="B116" s="81">
        <f>IFERROR(__xludf.DUMMYFUNCTION("""COMPUTED_VALUE"""),1.0)</f>
        <v>1</v>
      </c>
      <c r="C116" s="81">
        <f>IFERROR(__xludf.DUMMYFUNCTION("""COMPUTED_VALUE"""),1.0)</f>
        <v>1</v>
      </c>
      <c r="D116" s="81">
        <f>IFERROR(__xludf.DUMMYFUNCTION("""COMPUTED_VALUE"""),3.0)</f>
        <v>3</v>
      </c>
      <c r="E116" s="81">
        <f>IFERROR(__xludf.DUMMYFUNCTION("""COMPUTED_VALUE"""),3.0)</f>
        <v>3</v>
      </c>
    </row>
    <row r="117">
      <c r="A117" s="81" t="str">
        <f>IFERROR(__xludf.DUMMYFUNCTION("""COMPUTED_VALUE"""),"Pontus B")</f>
        <v>Pontus B</v>
      </c>
      <c r="B117" s="81">
        <f>IFERROR(__xludf.DUMMYFUNCTION("""COMPUTED_VALUE"""),3.0)</f>
        <v>3</v>
      </c>
      <c r="C117" s="81">
        <f>IFERROR(__xludf.DUMMYFUNCTION("""COMPUTED_VALUE"""),2.0)</f>
        <v>2</v>
      </c>
      <c r="D117" s="81">
        <f>IFERROR(__xludf.DUMMYFUNCTION("""COMPUTED_VALUE"""),3.0)</f>
        <v>3</v>
      </c>
      <c r="E117" s="81">
        <f>IFERROR(__xludf.DUMMYFUNCTION("""COMPUTED_VALUE"""),3.0)</f>
        <v>3</v>
      </c>
    </row>
    <row r="118">
      <c r="A118" s="81" t="str">
        <f>IFERROR(__xludf.DUMMYFUNCTION("""COMPUTED_VALUE"""),"Shoresh A")</f>
        <v>Shoresh A</v>
      </c>
      <c r="B118" s="81">
        <f>IFERROR(__xludf.DUMMYFUNCTION("""COMPUTED_VALUE"""),1.0)</f>
        <v>1</v>
      </c>
      <c r="C118" s="81">
        <f>IFERROR(__xludf.DUMMYFUNCTION("""COMPUTED_VALUE"""),5.0)</f>
        <v>5</v>
      </c>
      <c r="D118" s="81">
        <f>IFERROR(__xludf.DUMMYFUNCTION("""COMPUTED_VALUE"""),3.0)</f>
        <v>3</v>
      </c>
      <c r="E118" s="81">
        <f>IFERROR(__xludf.DUMMYFUNCTION("""COMPUTED_VALUE"""),3.0)</f>
        <v>3</v>
      </c>
    </row>
    <row r="119">
      <c r="A119" s="81" t="str">
        <f>IFERROR(__xludf.DUMMYFUNCTION("""COMPUTED_VALUE"""),"Casper W")</f>
        <v>Casper W</v>
      </c>
      <c r="B119" s="81">
        <f>IFERROR(__xludf.DUMMYFUNCTION("""COMPUTED_VALUE"""),2.0)</f>
        <v>2</v>
      </c>
      <c r="C119" s="81">
        <f>IFERROR(__xludf.DUMMYFUNCTION("""COMPUTED_VALUE"""),0.0)</f>
        <v>0</v>
      </c>
      <c r="D119" s="81">
        <f>IFERROR(__xludf.DUMMYFUNCTION("""COMPUTED_VALUE"""),2.0)</f>
        <v>2</v>
      </c>
      <c r="E119" s="81">
        <f>IFERROR(__xludf.DUMMYFUNCTION("""COMPUTED_VALUE"""),4.0)</f>
        <v>4</v>
      </c>
    </row>
    <row r="120">
      <c r="A120" s="81" t="str">
        <f>IFERROR(__xludf.DUMMYFUNCTION("""COMPUTED_VALUE"""),"George T")</f>
        <v>George T</v>
      </c>
      <c r="B120" s="81">
        <f>IFERROR(__xludf.DUMMYFUNCTION("""COMPUTED_VALUE"""),0.0)</f>
        <v>0</v>
      </c>
      <c r="C120" s="81">
        <f>IFERROR(__xludf.DUMMYFUNCTION("""COMPUTED_VALUE"""),1.0)</f>
        <v>1</v>
      </c>
      <c r="D120" s="81">
        <f>IFERROR(__xludf.DUMMYFUNCTION("""COMPUTED_VALUE"""),2.0)</f>
        <v>2</v>
      </c>
      <c r="E120" s="81">
        <f>IFERROR(__xludf.DUMMYFUNCTION("""COMPUTED_VALUE"""),4.0)</f>
        <v>4</v>
      </c>
    </row>
    <row r="121">
      <c r="A121" s="81" t="str">
        <f>IFERROR(__xludf.DUMMYFUNCTION("""COMPUTED_VALUE"""),"Pontus B")</f>
        <v>Pontus B</v>
      </c>
      <c r="B121" s="81">
        <f>IFERROR(__xludf.DUMMYFUNCTION("""COMPUTED_VALUE"""),2.0)</f>
        <v>2</v>
      </c>
      <c r="C121" s="81">
        <f>IFERROR(__xludf.DUMMYFUNCTION("""COMPUTED_VALUE"""),4.0)</f>
        <v>4</v>
      </c>
      <c r="D121" s="81">
        <f>IFERROR(__xludf.DUMMYFUNCTION("""COMPUTED_VALUE"""),2.0)</f>
        <v>2</v>
      </c>
      <c r="E121" s="81">
        <f>IFERROR(__xludf.DUMMYFUNCTION("""COMPUTED_VALUE"""),4.0)</f>
        <v>4</v>
      </c>
    </row>
    <row r="122">
      <c r="A122" s="81" t="str">
        <f>IFERROR(__xludf.DUMMYFUNCTION("""COMPUTED_VALUE"""),"Sebastian E")</f>
        <v>Sebastian E</v>
      </c>
      <c r="B122" s="81">
        <f>IFERROR(__xludf.DUMMYFUNCTION("""COMPUTED_VALUE"""),2.0)</f>
        <v>2</v>
      </c>
      <c r="C122" s="81">
        <f>IFERROR(__xludf.DUMMYFUNCTION("""COMPUTED_VALUE"""),1.0)</f>
        <v>1</v>
      </c>
      <c r="D122" s="81">
        <f>IFERROR(__xludf.DUMMYFUNCTION("""COMPUTED_VALUE"""),2.0)</f>
        <v>2</v>
      </c>
      <c r="E122" s="81">
        <f>IFERROR(__xludf.DUMMYFUNCTION("""COMPUTED_VALUE"""),4.0)</f>
        <v>4</v>
      </c>
    </row>
    <row r="123">
      <c r="A123" s="81" t="str">
        <f>IFERROR(__xludf.DUMMYFUNCTION("""COMPUTED_VALUE"""),"Yvan I")</f>
        <v>Yvan I</v>
      </c>
      <c r="B123" s="81">
        <f>IFERROR(__xludf.DUMMYFUNCTION("""COMPUTED_VALUE"""),2.0)</f>
        <v>2</v>
      </c>
      <c r="C123" s="81">
        <f>IFERROR(__xludf.DUMMYFUNCTION("""COMPUTED_VALUE"""),2.0)</f>
        <v>2</v>
      </c>
      <c r="D123" s="81">
        <f>IFERROR(__xludf.DUMMYFUNCTION("""COMPUTED_VALUE"""),2.0)</f>
        <v>2</v>
      </c>
      <c r="E123" s="81">
        <f>IFERROR(__xludf.DUMMYFUNCTION("""COMPUTED_VALUE"""),4.0)</f>
        <v>4</v>
      </c>
    </row>
    <row r="124">
      <c r="A124" s="81" t="str">
        <f>IFERROR(__xludf.DUMMYFUNCTION("""COMPUTED_VALUE"""),"Daniel Ö")</f>
        <v>Daniel Ö</v>
      </c>
      <c r="B124" s="81">
        <f>IFERROR(__xludf.DUMMYFUNCTION("""COMPUTED_VALUE"""),2.0)</f>
        <v>2</v>
      </c>
      <c r="C124" s="81">
        <f>IFERROR(__xludf.DUMMYFUNCTION("""COMPUTED_VALUE"""),2.0)</f>
        <v>2</v>
      </c>
      <c r="D124" s="81">
        <f>IFERROR(__xludf.DUMMYFUNCTION("""COMPUTED_VALUE"""),1.0)</f>
        <v>1</v>
      </c>
      <c r="E124" s="81">
        <f>IFERROR(__xludf.DUMMYFUNCTION("""COMPUTED_VALUE"""),4.0)</f>
        <v>4</v>
      </c>
    </row>
    <row r="125">
      <c r="A125" s="81" t="str">
        <f>IFERROR(__xludf.DUMMYFUNCTION("""COMPUTED_VALUE"""),"Moaaz T")</f>
        <v>Moaaz T</v>
      </c>
      <c r="B125" s="81">
        <f>IFERROR(__xludf.DUMMYFUNCTION("""COMPUTED_VALUE"""),0.0)</f>
        <v>0</v>
      </c>
      <c r="C125" s="81">
        <f>IFERROR(__xludf.DUMMYFUNCTION("""COMPUTED_VALUE"""),1.0)</f>
        <v>1</v>
      </c>
      <c r="D125" s="81">
        <f>IFERROR(__xludf.DUMMYFUNCTION("""COMPUTED_VALUE"""),1.0)</f>
        <v>1</v>
      </c>
      <c r="E125" s="81">
        <f>IFERROR(__xludf.DUMMYFUNCTION("""COMPUTED_VALUE"""),4.0)</f>
        <v>4</v>
      </c>
    </row>
    <row r="126">
      <c r="A126" s="81" t="str">
        <f>IFERROR(__xludf.DUMMYFUNCTION("""COMPUTED_VALUE"""),"Sebastian E")</f>
        <v>Sebastian E</v>
      </c>
      <c r="B126" s="81">
        <f>IFERROR(__xludf.DUMMYFUNCTION("""COMPUTED_VALUE"""),3.0)</f>
        <v>3</v>
      </c>
      <c r="C126" s="81">
        <f>IFERROR(__xludf.DUMMYFUNCTION("""COMPUTED_VALUE"""),1.0)</f>
        <v>1</v>
      </c>
      <c r="D126" s="81">
        <f>IFERROR(__xludf.DUMMYFUNCTION("""COMPUTED_VALUE"""),1.0)</f>
        <v>1</v>
      </c>
      <c r="E126" s="81">
        <f>IFERROR(__xludf.DUMMYFUNCTION("""COMPUTED_VALUE"""),4.0)</f>
        <v>4</v>
      </c>
    </row>
    <row r="127">
      <c r="A127" s="81" t="str">
        <f>IFERROR(__xludf.DUMMYFUNCTION("""COMPUTED_VALUE"""),"Yvan I")</f>
        <v>Yvan I</v>
      </c>
      <c r="B127" s="81">
        <f>IFERROR(__xludf.DUMMYFUNCTION("""COMPUTED_VALUE"""),1.0)</f>
        <v>1</v>
      </c>
      <c r="C127" s="81">
        <f>IFERROR(__xludf.DUMMYFUNCTION("""COMPUTED_VALUE"""),2.0)</f>
        <v>2</v>
      </c>
      <c r="D127" s="81">
        <f>IFERROR(__xludf.DUMMYFUNCTION("""COMPUTED_VALUE"""),1.0)</f>
        <v>1</v>
      </c>
      <c r="E127" s="81">
        <f>IFERROR(__xludf.DUMMYFUNCTION("""COMPUTED_VALUE"""),4.0)</f>
        <v>4</v>
      </c>
    </row>
    <row r="128">
      <c r="A128" s="81" t="str">
        <f>IFERROR(__xludf.DUMMYFUNCTION("""COMPUTED_VALUE"""),"Achillie X")</f>
        <v>Achillie X</v>
      </c>
      <c r="B128" s="81">
        <f>IFERROR(__xludf.DUMMYFUNCTION("""COMPUTED_VALUE"""),0.0)</f>
        <v>0</v>
      </c>
      <c r="C128" s="81">
        <f>IFERROR(__xludf.DUMMYFUNCTION("""COMPUTED_VALUE"""),0.0)</f>
        <v>0</v>
      </c>
      <c r="D128" s="81">
        <f>IFERROR(__xludf.DUMMYFUNCTION("""COMPUTED_VALUE"""),1.0)</f>
        <v>1</v>
      </c>
      <c r="E128" s="81">
        <f>IFERROR(__xludf.DUMMYFUNCTION("""COMPUTED_VALUE"""),3.0)</f>
        <v>3</v>
      </c>
    </row>
    <row r="129">
      <c r="A129" s="81" t="str">
        <f>IFERROR(__xludf.DUMMYFUNCTION("""COMPUTED_VALUE"""),"Daniel K")</f>
        <v>Daniel K</v>
      </c>
      <c r="B129" s="81">
        <f>IFERROR(__xludf.DUMMYFUNCTION("""COMPUTED_VALUE"""),0.0)</f>
        <v>0</v>
      </c>
      <c r="C129" s="81">
        <f>IFERROR(__xludf.DUMMYFUNCTION("""COMPUTED_VALUE"""),2.0)</f>
        <v>2</v>
      </c>
      <c r="D129" s="81">
        <f>IFERROR(__xludf.DUMMYFUNCTION("""COMPUTED_VALUE"""),1.0)</f>
        <v>1</v>
      </c>
      <c r="E129" s="81">
        <f>IFERROR(__xludf.DUMMYFUNCTION("""COMPUTED_VALUE"""),3.0)</f>
        <v>3</v>
      </c>
    </row>
    <row r="130">
      <c r="A130" s="81" t="str">
        <f>IFERROR(__xludf.DUMMYFUNCTION("""COMPUTED_VALUE"""),"Dennis F")</f>
        <v>Dennis F</v>
      </c>
      <c r="B130" s="81">
        <f>IFERROR(__xludf.DUMMYFUNCTION("""COMPUTED_VALUE"""),1.0)</f>
        <v>1</v>
      </c>
      <c r="C130" s="81">
        <f>IFERROR(__xludf.DUMMYFUNCTION("""COMPUTED_VALUE"""),1.0)</f>
        <v>1</v>
      </c>
      <c r="D130" s="81">
        <f>IFERROR(__xludf.DUMMYFUNCTION("""COMPUTED_VALUE"""),1.0)</f>
        <v>1</v>
      </c>
      <c r="E130" s="81">
        <f>IFERROR(__xludf.DUMMYFUNCTION("""COMPUTED_VALUE"""),3.0)</f>
        <v>3</v>
      </c>
    </row>
    <row r="131">
      <c r="A131" s="81" t="str">
        <f>IFERROR(__xludf.DUMMYFUNCTION("""COMPUTED_VALUE"""),"Pontus B")</f>
        <v>Pontus B</v>
      </c>
      <c r="B131" s="81">
        <f>IFERROR(__xludf.DUMMYFUNCTION("""COMPUTED_VALUE"""),1.0)</f>
        <v>1</v>
      </c>
      <c r="C131" s="81">
        <f>IFERROR(__xludf.DUMMYFUNCTION("""COMPUTED_VALUE"""),0.0)</f>
        <v>0</v>
      </c>
      <c r="D131" s="81">
        <f>IFERROR(__xludf.DUMMYFUNCTION("""COMPUTED_VALUE"""),1.0)</f>
        <v>1</v>
      </c>
      <c r="E131" s="81">
        <f>IFERROR(__xludf.DUMMYFUNCTION("""COMPUTED_VALUE"""),3.0)</f>
        <v>3</v>
      </c>
    </row>
    <row r="132">
      <c r="A132" s="81" t="str">
        <f>IFERROR(__xludf.DUMMYFUNCTION("""COMPUTED_VALUE"""),"Sebastian E")</f>
        <v>Sebastian E</v>
      </c>
      <c r="B132" s="81">
        <f>IFERROR(__xludf.DUMMYFUNCTION("""COMPUTED_VALUE"""),1.0)</f>
        <v>1</v>
      </c>
      <c r="C132" s="81">
        <f>IFERROR(__xludf.DUMMYFUNCTION("""COMPUTED_VALUE"""),0.0)</f>
        <v>0</v>
      </c>
      <c r="D132" s="81">
        <f>IFERROR(__xludf.DUMMYFUNCTION("""COMPUTED_VALUE"""),1.0)</f>
        <v>1</v>
      </c>
      <c r="E132" s="81">
        <f>IFERROR(__xludf.DUMMYFUNCTION("""COMPUTED_VALUE"""),3.0)</f>
        <v>3</v>
      </c>
    </row>
    <row r="133">
      <c r="A133" s="81" t="str">
        <f>IFERROR(__xludf.DUMMYFUNCTION("""COMPUTED_VALUE"""),"Yvan I")</f>
        <v>Yvan I</v>
      </c>
      <c r="B133" s="81">
        <f>IFERROR(__xludf.DUMMYFUNCTION("""COMPUTED_VALUE"""),0.0)</f>
        <v>0</v>
      </c>
      <c r="C133" s="81">
        <f>IFERROR(__xludf.DUMMYFUNCTION("""COMPUTED_VALUE"""),0.0)</f>
        <v>0</v>
      </c>
      <c r="D133" s="81">
        <f>IFERROR(__xludf.DUMMYFUNCTION("""COMPUTED_VALUE"""),1.0)</f>
        <v>1</v>
      </c>
      <c r="E133" s="81">
        <f>IFERROR(__xludf.DUMMYFUNCTION("""COMPUTED_VALUE"""),3.0)</f>
        <v>3</v>
      </c>
    </row>
    <row r="134">
      <c r="A134" s="81" t="str">
        <f>IFERROR(__xludf.DUMMYFUNCTION("""COMPUTED_VALUE"""),"Hampus W")</f>
        <v>Hampus W</v>
      </c>
      <c r="B134" s="81">
        <f>IFERROR(__xludf.DUMMYFUNCTION("""COMPUTED_VALUE"""),0.0)</f>
        <v>0</v>
      </c>
      <c r="C134" s="81">
        <f>IFERROR(__xludf.DUMMYFUNCTION("""COMPUTED_VALUE"""),0.0)</f>
        <v>0</v>
      </c>
      <c r="D134" s="81">
        <f>IFERROR(__xludf.DUMMYFUNCTION("""COMPUTED_VALUE"""),3.0)</f>
        <v>3</v>
      </c>
      <c r="E134" s="81">
        <f>IFERROR(__xludf.DUMMYFUNCTION("""COMPUTED_VALUE"""),1.0)</f>
        <v>1</v>
      </c>
    </row>
    <row r="135">
      <c r="A135" s="81" t="str">
        <f>IFERROR(__xludf.DUMMYFUNCTION("""COMPUTED_VALUE"""),"Jakob S")</f>
        <v>Jakob S</v>
      </c>
      <c r="B135" s="81">
        <f>IFERROR(__xludf.DUMMYFUNCTION("""COMPUTED_VALUE"""),2.0)</f>
        <v>2</v>
      </c>
      <c r="C135" s="81">
        <f>IFERROR(__xludf.DUMMYFUNCTION("""COMPUTED_VALUE"""),0.0)</f>
        <v>0</v>
      </c>
      <c r="D135" s="81">
        <f>IFERROR(__xludf.DUMMYFUNCTION("""COMPUTED_VALUE"""),3.0)</f>
        <v>3</v>
      </c>
      <c r="E135" s="81">
        <f>IFERROR(__xludf.DUMMYFUNCTION("""COMPUTED_VALUE"""),1.0)</f>
        <v>1</v>
      </c>
    </row>
    <row r="136">
      <c r="A136" s="81" t="str">
        <f>IFERROR(__xludf.DUMMYFUNCTION("""COMPUTED_VALUE"""),"Yvan I")</f>
        <v>Yvan I</v>
      </c>
      <c r="B136" s="81">
        <f>IFERROR(__xludf.DUMMYFUNCTION("""COMPUTED_VALUE"""),3.0)</f>
        <v>3</v>
      </c>
      <c r="C136" s="81">
        <f>IFERROR(__xludf.DUMMYFUNCTION("""COMPUTED_VALUE"""),1.0)</f>
        <v>1</v>
      </c>
      <c r="D136" s="81">
        <f>IFERROR(__xludf.DUMMYFUNCTION("""COMPUTED_VALUE"""),3.0)</f>
        <v>3</v>
      </c>
      <c r="E136" s="81">
        <f>IFERROR(__xludf.DUMMYFUNCTION("""COMPUTED_VALUE"""),1.0)</f>
        <v>1</v>
      </c>
    </row>
    <row r="137">
      <c r="A137" s="81" t="str">
        <f>IFERROR(__xludf.DUMMYFUNCTION("""COMPUTED_VALUE"""),"Oliver G")</f>
        <v>Oliver G</v>
      </c>
      <c r="B137" s="81">
        <f>IFERROR(__xludf.DUMMYFUNCTION("""COMPUTED_VALUE"""),1.0)</f>
        <v>1</v>
      </c>
      <c r="C137" s="81">
        <f>IFERROR(__xludf.DUMMYFUNCTION("""COMPUTED_VALUE"""),3.0)</f>
        <v>3</v>
      </c>
      <c r="D137" s="81">
        <f>IFERROR(__xludf.DUMMYFUNCTION("""COMPUTED_VALUE"""),3.0)</f>
        <v>3</v>
      </c>
      <c r="E137" s="81">
        <f>IFERROR(__xludf.DUMMYFUNCTION("""COMPUTED_VALUE"""),1.0)</f>
        <v>1</v>
      </c>
    </row>
    <row r="138">
      <c r="A138" s="81" t="str">
        <f>IFERROR(__xludf.DUMMYFUNCTION("""COMPUTED_VALUE"""),"Sebastian E")</f>
        <v>Sebastian E</v>
      </c>
      <c r="B138" s="81">
        <f>IFERROR(__xludf.DUMMYFUNCTION("""COMPUTED_VALUE"""),3.0)</f>
        <v>3</v>
      </c>
      <c r="C138" s="81">
        <f>IFERROR(__xludf.DUMMYFUNCTION("""COMPUTED_VALUE"""),2.0)</f>
        <v>2</v>
      </c>
      <c r="D138" s="81">
        <f>IFERROR(__xludf.DUMMYFUNCTION("""COMPUTED_VALUE"""),3.0)</f>
        <v>3</v>
      </c>
      <c r="E138" s="81">
        <f>IFERROR(__xludf.DUMMYFUNCTION("""COMPUTED_VALUE"""),3.0)</f>
        <v>3</v>
      </c>
    </row>
    <row r="139">
      <c r="A139" s="81" t="str">
        <f>IFERROR(__xludf.DUMMYFUNCTION("""COMPUTED_VALUE"""),"Ivan N")</f>
        <v>Ivan N</v>
      </c>
      <c r="B139" s="81">
        <f>IFERROR(__xludf.DUMMYFUNCTION("""COMPUTED_VALUE"""),0.0)</f>
        <v>0</v>
      </c>
      <c r="C139" s="81">
        <f>IFERROR(__xludf.DUMMYFUNCTION("""COMPUTED_VALUE"""),3.0)</f>
        <v>3</v>
      </c>
      <c r="D139" s="81">
        <f>IFERROR(__xludf.DUMMYFUNCTION("""COMPUTED_VALUE"""),3.0)</f>
        <v>3</v>
      </c>
      <c r="E139" s="81">
        <f>IFERROR(__xludf.DUMMYFUNCTION("""COMPUTED_VALUE"""),3.0)</f>
        <v>3</v>
      </c>
    </row>
    <row r="140">
      <c r="A140" s="81" t="str">
        <f>IFERROR(__xludf.DUMMYFUNCTION("""COMPUTED_VALUE"""),"Daniel K")</f>
        <v>Daniel K</v>
      </c>
      <c r="B140" s="81">
        <f>IFERROR(__xludf.DUMMYFUNCTION("""COMPUTED_VALUE"""),2.0)</f>
        <v>2</v>
      </c>
      <c r="C140" s="81">
        <f>IFERROR(__xludf.DUMMYFUNCTION("""COMPUTED_VALUE"""),0.0)</f>
        <v>0</v>
      </c>
      <c r="D140" s="81">
        <f>IFERROR(__xludf.DUMMYFUNCTION("""COMPUTED_VALUE"""),3.0)</f>
        <v>3</v>
      </c>
      <c r="E140" s="81">
        <f>IFERROR(__xludf.DUMMYFUNCTION("""COMPUTED_VALUE"""),3.0)</f>
        <v>3</v>
      </c>
    </row>
    <row r="141">
      <c r="A141" s="81" t="str">
        <f>IFERROR(__xludf.DUMMYFUNCTION("""COMPUTED_VALUE"""),"Shoresh A")</f>
        <v>Shoresh A</v>
      </c>
      <c r="B141" s="81">
        <f>IFERROR(__xludf.DUMMYFUNCTION("""COMPUTED_VALUE"""),0.0)</f>
        <v>0</v>
      </c>
      <c r="C141" s="81">
        <f>IFERROR(__xludf.DUMMYFUNCTION("""COMPUTED_VALUE"""),0.0)</f>
        <v>0</v>
      </c>
      <c r="D141" s="81">
        <f>IFERROR(__xludf.DUMMYFUNCTION("""COMPUTED_VALUE"""),3.0)</f>
        <v>3</v>
      </c>
      <c r="E141" s="81">
        <f>IFERROR(__xludf.DUMMYFUNCTION("""COMPUTED_VALUE"""),3.0)</f>
        <v>3</v>
      </c>
    </row>
    <row r="142">
      <c r="A142" s="81" t="str">
        <f>IFERROR(__xludf.DUMMYFUNCTION("""COMPUTED_VALUE"""),"Oliver G")</f>
        <v>Oliver G</v>
      </c>
      <c r="B142" s="81">
        <f>IFERROR(__xludf.DUMMYFUNCTION("""COMPUTED_VALUE"""),2.0)</f>
        <v>2</v>
      </c>
      <c r="C142" s="81">
        <f>IFERROR(__xludf.DUMMYFUNCTION("""COMPUTED_VALUE"""),0.0)</f>
        <v>0</v>
      </c>
      <c r="D142" s="81">
        <f>IFERROR(__xludf.DUMMYFUNCTION("""COMPUTED_VALUE"""),3.0)</f>
        <v>3</v>
      </c>
      <c r="E142" s="81">
        <f>IFERROR(__xludf.DUMMYFUNCTION("""COMPUTED_VALUE"""),3.0)</f>
        <v>3</v>
      </c>
    </row>
    <row r="143">
      <c r="A143" s="81" t="str">
        <f>IFERROR(__xludf.DUMMYFUNCTION("""COMPUTED_VALUE"""),"Benjamin L")</f>
        <v>Benjamin L</v>
      </c>
      <c r="B143" s="81">
        <f>IFERROR(__xludf.DUMMYFUNCTION("""COMPUTED_VALUE"""),0.0)</f>
        <v>0</v>
      </c>
      <c r="C143" s="81">
        <f>IFERROR(__xludf.DUMMYFUNCTION("""COMPUTED_VALUE"""),2.0)</f>
        <v>2</v>
      </c>
      <c r="D143" s="81">
        <f>IFERROR(__xludf.DUMMYFUNCTION("""COMPUTED_VALUE"""),1.0)</f>
        <v>1</v>
      </c>
      <c r="E143" s="81">
        <f>IFERROR(__xludf.DUMMYFUNCTION("""COMPUTED_VALUE"""),3.0)</f>
        <v>3</v>
      </c>
    </row>
    <row r="144">
      <c r="A144" s="81" t="str">
        <f>IFERROR(__xludf.DUMMYFUNCTION("""COMPUTED_VALUE"""),"Dennis F")</f>
        <v>Dennis F</v>
      </c>
      <c r="B144" s="81">
        <f>IFERROR(__xludf.DUMMYFUNCTION("""COMPUTED_VALUE"""),0.0)</f>
        <v>0</v>
      </c>
      <c r="C144" s="81">
        <f>IFERROR(__xludf.DUMMYFUNCTION("""COMPUTED_VALUE"""),1.0)</f>
        <v>1</v>
      </c>
      <c r="D144" s="81">
        <f>IFERROR(__xludf.DUMMYFUNCTION("""COMPUTED_VALUE"""),1.0)</f>
        <v>1</v>
      </c>
      <c r="E144" s="81">
        <f>IFERROR(__xludf.DUMMYFUNCTION("""COMPUTED_VALUE"""),3.0)</f>
        <v>3</v>
      </c>
    </row>
    <row r="145">
      <c r="A145" s="81" t="str">
        <f>IFERROR(__xludf.DUMMYFUNCTION("""COMPUTED_VALUE"""),"Oskar R")</f>
        <v>Oskar R</v>
      </c>
      <c r="B145" s="81">
        <f>IFERROR(__xludf.DUMMYFUNCTION("""COMPUTED_VALUE"""),1.0)</f>
        <v>1</v>
      </c>
      <c r="C145" s="81">
        <f>IFERROR(__xludf.DUMMYFUNCTION("""COMPUTED_VALUE"""),1.0)</f>
        <v>1</v>
      </c>
      <c r="D145" s="81">
        <f>IFERROR(__xludf.DUMMYFUNCTION("""COMPUTED_VALUE"""),1.0)</f>
        <v>1</v>
      </c>
      <c r="E145" s="81">
        <f>IFERROR(__xludf.DUMMYFUNCTION("""COMPUTED_VALUE"""),3.0)</f>
        <v>3</v>
      </c>
    </row>
    <row r="146">
      <c r="A146" s="81" t="str">
        <f>IFERROR(__xludf.DUMMYFUNCTION("""COMPUTED_VALUE"""),"Yvan I")</f>
        <v>Yvan I</v>
      </c>
      <c r="B146" s="81">
        <f>IFERROR(__xludf.DUMMYFUNCTION("""COMPUTED_VALUE"""),3.0)</f>
        <v>3</v>
      </c>
      <c r="C146" s="81">
        <f>IFERROR(__xludf.DUMMYFUNCTION("""COMPUTED_VALUE"""),0.0)</f>
        <v>0</v>
      </c>
      <c r="D146" s="81">
        <f>IFERROR(__xludf.DUMMYFUNCTION("""COMPUTED_VALUE"""),1.0)</f>
        <v>1</v>
      </c>
      <c r="E146" s="81">
        <f>IFERROR(__xludf.DUMMYFUNCTION("""COMPUTED_VALUE"""),3.0)</f>
        <v>3</v>
      </c>
    </row>
    <row r="147">
      <c r="A147" s="81" t="str">
        <f>IFERROR(__xludf.DUMMYFUNCTION("""COMPUTED_VALUE"""),"Samuel P")</f>
        <v>Samuel P</v>
      </c>
      <c r="B147" s="81">
        <f>IFERROR(__xludf.DUMMYFUNCTION("""COMPUTED_VALUE"""),0.0)</f>
        <v>0</v>
      </c>
      <c r="C147" s="81">
        <f>IFERROR(__xludf.DUMMYFUNCTION("""COMPUTED_VALUE"""),1.0)</f>
        <v>1</v>
      </c>
      <c r="D147" s="81">
        <f>IFERROR(__xludf.DUMMYFUNCTION("""COMPUTED_VALUE"""),1.0)</f>
        <v>1</v>
      </c>
      <c r="E147" s="81">
        <f>IFERROR(__xludf.DUMMYFUNCTION("""COMPUTED_VALUE"""),5.0)</f>
        <v>5</v>
      </c>
    </row>
    <row r="148">
      <c r="A148" s="81" t="str">
        <f>IFERROR(__xludf.DUMMYFUNCTION("""COMPUTED_VALUE"""),"Yvan I")</f>
        <v>Yvan I</v>
      </c>
      <c r="B148" s="81">
        <f>IFERROR(__xludf.DUMMYFUNCTION("""COMPUTED_VALUE"""),1.0)</f>
        <v>1</v>
      </c>
      <c r="C148" s="81">
        <f>IFERROR(__xludf.DUMMYFUNCTION("""COMPUTED_VALUE"""),0.0)</f>
        <v>0</v>
      </c>
      <c r="D148" s="81">
        <f>IFERROR(__xludf.DUMMYFUNCTION("""COMPUTED_VALUE"""),1.0)</f>
        <v>1</v>
      </c>
      <c r="E148" s="81">
        <f>IFERROR(__xludf.DUMMYFUNCTION("""COMPUTED_VALUE"""),5.0)</f>
        <v>5</v>
      </c>
    </row>
    <row r="149">
      <c r="A149" s="81" t="str">
        <f>IFERROR(__xludf.DUMMYFUNCTION("""COMPUTED_VALUE"""),"Pelle A")</f>
        <v>Pelle A</v>
      </c>
      <c r="B149" s="81">
        <f>IFERROR(__xludf.DUMMYFUNCTION("""COMPUTED_VALUE"""),2.0)</f>
        <v>2</v>
      </c>
      <c r="C149" s="81">
        <f>IFERROR(__xludf.DUMMYFUNCTION("""COMPUTED_VALUE"""),0.0)</f>
        <v>0</v>
      </c>
      <c r="D149" s="81">
        <f>IFERROR(__xludf.DUMMYFUNCTION("""COMPUTED_VALUE"""),1.0)</f>
        <v>1</v>
      </c>
      <c r="E149" s="81">
        <f>IFERROR(__xludf.DUMMYFUNCTION("""COMPUTED_VALUE"""),5.0)</f>
        <v>5</v>
      </c>
    </row>
    <row r="150">
      <c r="A150" s="81" t="str">
        <f>IFERROR(__xludf.DUMMYFUNCTION("""COMPUTED_VALUE"""),"Jesper H")</f>
        <v>Jesper H</v>
      </c>
      <c r="B150" s="81">
        <f>IFERROR(__xludf.DUMMYFUNCTION("""COMPUTED_VALUE"""),0.0)</f>
        <v>0</v>
      </c>
      <c r="C150" s="81">
        <f>IFERROR(__xludf.DUMMYFUNCTION("""COMPUTED_VALUE"""),0.0)</f>
        <v>0</v>
      </c>
      <c r="D150" s="81">
        <f>IFERROR(__xludf.DUMMYFUNCTION("""COMPUTED_VALUE"""),1.0)</f>
        <v>1</v>
      </c>
      <c r="E150" s="81">
        <f>IFERROR(__xludf.DUMMYFUNCTION("""COMPUTED_VALUE"""),5.0)</f>
        <v>5</v>
      </c>
    </row>
    <row r="151">
      <c r="A151" s="81" t="str">
        <f>IFERROR(__xludf.DUMMYFUNCTION("""COMPUTED_VALUE"""),"Daniel K")</f>
        <v>Daniel K</v>
      </c>
      <c r="B151" s="81">
        <f>IFERROR(__xludf.DUMMYFUNCTION("""COMPUTED_VALUE"""),1.0)</f>
        <v>1</v>
      </c>
      <c r="C151" s="81">
        <f>IFERROR(__xludf.DUMMYFUNCTION("""COMPUTED_VALUE"""),0.0)</f>
        <v>0</v>
      </c>
      <c r="D151" s="81">
        <f>IFERROR(__xludf.DUMMYFUNCTION("""COMPUTED_VALUE"""),1.0)</f>
        <v>1</v>
      </c>
      <c r="E151" s="81">
        <f>IFERROR(__xludf.DUMMYFUNCTION("""COMPUTED_VALUE"""),6.0)</f>
        <v>6</v>
      </c>
    </row>
    <row r="152">
      <c r="A152" s="81" t="str">
        <f>IFERROR(__xludf.DUMMYFUNCTION("""COMPUTED_VALUE"""),"Isak L")</f>
        <v>Isak L</v>
      </c>
      <c r="B152" s="81">
        <f>IFERROR(__xludf.DUMMYFUNCTION("""COMPUTED_VALUE"""),0.0)</f>
        <v>0</v>
      </c>
      <c r="C152" s="81">
        <f>IFERROR(__xludf.DUMMYFUNCTION("""COMPUTED_VALUE"""),0.0)</f>
        <v>0</v>
      </c>
      <c r="D152" s="81">
        <f>IFERROR(__xludf.DUMMYFUNCTION("""COMPUTED_VALUE"""),1.0)</f>
        <v>1</v>
      </c>
      <c r="E152" s="81">
        <f>IFERROR(__xludf.DUMMYFUNCTION("""COMPUTED_VALUE"""),6.0)</f>
        <v>6</v>
      </c>
    </row>
    <row r="153">
      <c r="A153" s="81" t="str">
        <f>IFERROR(__xludf.DUMMYFUNCTION("""COMPUTED_VALUE"""),"Oliver G")</f>
        <v>Oliver G</v>
      </c>
      <c r="B153" s="81">
        <f>IFERROR(__xludf.DUMMYFUNCTION("""COMPUTED_VALUE"""),1.0)</f>
        <v>1</v>
      </c>
      <c r="C153" s="81">
        <f>IFERROR(__xludf.DUMMYFUNCTION("""COMPUTED_VALUE"""),1.0)</f>
        <v>1</v>
      </c>
      <c r="D153" s="81">
        <f>IFERROR(__xludf.DUMMYFUNCTION("""COMPUTED_VALUE"""),1.0)</f>
        <v>1</v>
      </c>
      <c r="E153" s="81">
        <f>IFERROR(__xludf.DUMMYFUNCTION("""COMPUTED_VALUE"""),6.0)</f>
        <v>6</v>
      </c>
    </row>
    <row r="154">
      <c r="A154" s="81" t="str">
        <f>IFERROR(__xludf.DUMMYFUNCTION("""COMPUTED_VALUE"""),"Yvan I")</f>
        <v>Yvan I</v>
      </c>
      <c r="B154" s="81">
        <f>IFERROR(__xludf.DUMMYFUNCTION("""COMPUTED_VALUE"""),0.0)</f>
        <v>0</v>
      </c>
      <c r="C154" s="81">
        <f>IFERROR(__xludf.DUMMYFUNCTION("""COMPUTED_VALUE"""),0.0)</f>
        <v>0</v>
      </c>
      <c r="D154" s="81">
        <f>IFERROR(__xludf.DUMMYFUNCTION("""COMPUTED_VALUE"""),1.0)</f>
        <v>1</v>
      </c>
      <c r="E154" s="81">
        <f>IFERROR(__xludf.DUMMYFUNCTION("""COMPUTED_VALUE"""),6.0)</f>
        <v>6</v>
      </c>
    </row>
    <row r="155">
      <c r="A155" s="81" t="str">
        <f>IFERROR(__xludf.DUMMYFUNCTION("""COMPUTED_VALUE"""),"Emil A")</f>
        <v>Emil A</v>
      </c>
      <c r="B155" s="81">
        <f>IFERROR(__xludf.DUMMYFUNCTION("""COMPUTED_VALUE"""),1.0)</f>
        <v>1</v>
      </c>
      <c r="C155" s="81">
        <f>IFERROR(__xludf.DUMMYFUNCTION("""COMPUTED_VALUE"""),1.0)</f>
        <v>1</v>
      </c>
      <c r="D155" s="81">
        <f>IFERROR(__xludf.DUMMYFUNCTION("""COMPUTED_VALUE"""),1.0)</f>
        <v>1</v>
      </c>
      <c r="E155" s="81">
        <f>IFERROR(__xludf.DUMMYFUNCTION("""COMPUTED_VALUE"""),6.0)</f>
        <v>6</v>
      </c>
    </row>
    <row r="156">
      <c r="A156" s="81" t="str">
        <f>IFERROR(__xludf.DUMMYFUNCTION("""COMPUTED_VALUE"""),"Daniel Ö")</f>
        <v>Daniel Ö</v>
      </c>
      <c r="B156" s="81">
        <f>IFERROR(__xludf.DUMMYFUNCTION("""COMPUTED_VALUE"""),4.0)</f>
        <v>4</v>
      </c>
      <c r="C156" s="81">
        <f>IFERROR(__xludf.DUMMYFUNCTION("""COMPUTED_VALUE"""),2.0)</f>
        <v>2</v>
      </c>
      <c r="D156" s="81">
        <f>IFERROR(__xludf.DUMMYFUNCTION("""COMPUTED_VALUE"""),4.0)</f>
        <v>4</v>
      </c>
      <c r="E156" s="81">
        <f>IFERROR(__xludf.DUMMYFUNCTION("""COMPUTED_VALUE"""),3.0)</f>
        <v>3</v>
      </c>
    </row>
    <row r="157">
      <c r="A157" s="81" t="str">
        <f>IFERROR(__xludf.DUMMYFUNCTION("""COMPUTED_VALUE"""),"Emil A")</f>
        <v>Emil A</v>
      </c>
      <c r="B157" s="81">
        <f>IFERROR(__xludf.DUMMYFUNCTION("""COMPUTED_VALUE"""),0.0)</f>
        <v>0</v>
      </c>
      <c r="C157" s="81">
        <f>IFERROR(__xludf.DUMMYFUNCTION("""COMPUTED_VALUE"""),2.0)</f>
        <v>2</v>
      </c>
      <c r="D157" s="81">
        <f>IFERROR(__xludf.DUMMYFUNCTION("""COMPUTED_VALUE"""),4.0)</f>
        <v>4</v>
      </c>
      <c r="E157" s="81">
        <f>IFERROR(__xludf.DUMMYFUNCTION("""COMPUTED_VALUE"""),3.0)</f>
        <v>3</v>
      </c>
    </row>
    <row r="158">
      <c r="A158" s="81" t="str">
        <f>IFERROR(__xludf.DUMMYFUNCTION("""COMPUTED_VALUE"""),"Joel A")</f>
        <v>Joel A</v>
      </c>
      <c r="B158" s="81">
        <f>IFERROR(__xludf.DUMMYFUNCTION("""COMPUTED_VALUE"""),3.0)</f>
        <v>3</v>
      </c>
      <c r="C158" s="81">
        <f>IFERROR(__xludf.DUMMYFUNCTION("""COMPUTED_VALUE"""),0.0)</f>
        <v>0</v>
      </c>
      <c r="D158" s="81">
        <f>IFERROR(__xludf.DUMMYFUNCTION("""COMPUTED_VALUE"""),4.0)</f>
        <v>4</v>
      </c>
      <c r="E158" s="81">
        <f>IFERROR(__xludf.DUMMYFUNCTION("""COMPUTED_VALUE"""),3.0)</f>
        <v>3</v>
      </c>
    </row>
    <row r="159">
      <c r="A159" s="81" t="str">
        <f>IFERROR(__xludf.DUMMYFUNCTION("""COMPUTED_VALUE"""),"Oliver G")</f>
        <v>Oliver G</v>
      </c>
      <c r="B159" s="81">
        <f>IFERROR(__xludf.DUMMYFUNCTION("""COMPUTED_VALUE"""),0.0)</f>
        <v>0</v>
      </c>
      <c r="C159" s="81">
        <f>IFERROR(__xludf.DUMMYFUNCTION("""COMPUTED_VALUE"""),1.0)</f>
        <v>1</v>
      </c>
      <c r="D159" s="81">
        <f>IFERROR(__xludf.DUMMYFUNCTION("""COMPUTED_VALUE"""),4.0)</f>
        <v>4</v>
      </c>
      <c r="E159" s="81">
        <f>IFERROR(__xludf.DUMMYFUNCTION("""COMPUTED_VALUE"""),3.0)</f>
        <v>3</v>
      </c>
    </row>
    <row r="160">
      <c r="A160" s="81" t="str">
        <f>IFERROR(__xludf.DUMMYFUNCTION("""COMPUTED_VALUE"""),"Oskar R")</f>
        <v>Oskar R</v>
      </c>
      <c r="B160" s="81">
        <f>IFERROR(__xludf.DUMMYFUNCTION("""COMPUTED_VALUE"""),1.0)</f>
        <v>1</v>
      </c>
      <c r="C160" s="81">
        <f>IFERROR(__xludf.DUMMYFUNCTION("""COMPUTED_VALUE"""),2.0)</f>
        <v>2</v>
      </c>
      <c r="D160" s="81">
        <f>IFERROR(__xludf.DUMMYFUNCTION("""COMPUTED_VALUE"""),4.0)</f>
        <v>4</v>
      </c>
      <c r="E160" s="81">
        <f>IFERROR(__xludf.DUMMYFUNCTION("""COMPUTED_VALUE"""),3.0)</f>
        <v>3</v>
      </c>
    </row>
    <row r="161">
      <c r="A161" s="81" t="str">
        <f>IFERROR(__xludf.DUMMYFUNCTION("""COMPUTED_VALUE"""),"George T")</f>
        <v>George T</v>
      </c>
      <c r="B161" s="81">
        <f>IFERROR(__xludf.DUMMYFUNCTION("""COMPUTED_VALUE"""),2.0)</f>
        <v>2</v>
      </c>
      <c r="C161" s="81">
        <f>IFERROR(__xludf.DUMMYFUNCTION("""COMPUTED_VALUE"""),1.0)</f>
        <v>1</v>
      </c>
      <c r="D161" s="81">
        <f>IFERROR(__xludf.DUMMYFUNCTION("""COMPUTED_VALUE"""),4.0)</f>
        <v>4</v>
      </c>
      <c r="E161" s="81">
        <f>IFERROR(__xludf.DUMMYFUNCTION("""COMPUTED_VALUE"""),3.0)</f>
        <v>3</v>
      </c>
    </row>
    <row r="162">
      <c r="A162" s="81" t="str">
        <f>IFERROR(__xludf.DUMMYFUNCTION("""COMPUTED_VALUE"""),"Ivan N")</f>
        <v>Ivan N</v>
      </c>
      <c r="B162" s="81">
        <f>IFERROR(__xludf.DUMMYFUNCTION("""COMPUTED_VALUE"""),5.0)</f>
        <v>5</v>
      </c>
      <c r="C162" s="81">
        <f>IFERROR(__xludf.DUMMYFUNCTION("""COMPUTED_VALUE"""),0.0)</f>
        <v>0</v>
      </c>
      <c r="D162" s="81">
        <f>IFERROR(__xludf.DUMMYFUNCTION("""COMPUTED_VALUE"""),4.0)</f>
        <v>4</v>
      </c>
      <c r="E162" s="81">
        <f>IFERROR(__xludf.DUMMYFUNCTION("""COMPUTED_VALUE"""),3.0)</f>
        <v>3</v>
      </c>
    </row>
    <row r="163">
      <c r="A163" s="81" t="str">
        <f>IFERROR(__xludf.DUMMYFUNCTION("""COMPUTED_VALUE"""),"Mattias X")</f>
        <v>Mattias X</v>
      </c>
      <c r="B163" s="81">
        <f>IFERROR(__xludf.DUMMYFUNCTION("""COMPUTED_VALUE"""),1.0)</f>
        <v>1</v>
      </c>
      <c r="C163" s="81">
        <f>IFERROR(__xludf.DUMMYFUNCTION("""COMPUTED_VALUE"""),0.0)</f>
        <v>0</v>
      </c>
      <c r="D163" s="81">
        <f>IFERROR(__xludf.DUMMYFUNCTION("""COMPUTED_VALUE"""),4.0)</f>
        <v>4</v>
      </c>
      <c r="E163" s="81">
        <f>IFERROR(__xludf.DUMMYFUNCTION("""COMPUTED_VALUE"""),3.0)</f>
        <v>3</v>
      </c>
    </row>
    <row r="164">
      <c r="A164" s="81" t="str">
        <f>IFERROR(__xludf.DUMMYFUNCTION("""COMPUTED_VALUE"""),"Oliver G")</f>
        <v>Oliver G</v>
      </c>
      <c r="B164" s="81">
        <f>IFERROR(__xludf.DUMMYFUNCTION("""COMPUTED_VALUE"""),0.0)</f>
        <v>0</v>
      </c>
      <c r="C164" s="81">
        <f>IFERROR(__xludf.DUMMYFUNCTION("""COMPUTED_VALUE"""),2.0)</f>
        <v>2</v>
      </c>
      <c r="D164" s="81">
        <f>IFERROR(__xludf.DUMMYFUNCTION("""COMPUTED_VALUE"""),4.0)</f>
        <v>4</v>
      </c>
      <c r="E164" s="81">
        <f>IFERROR(__xludf.DUMMYFUNCTION("""COMPUTED_VALUE"""),3.0)</f>
        <v>3</v>
      </c>
    </row>
    <row r="165">
      <c r="A165" s="81" t="str">
        <f>IFERROR(__xludf.DUMMYFUNCTION("""COMPUTED_VALUE"""),"Daniel Ö")</f>
        <v>Daniel Ö</v>
      </c>
      <c r="B165" s="81">
        <f>IFERROR(__xludf.DUMMYFUNCTION("""COMPUTED_VALUE"""),5.0)</f>
        <v>5</v>
      </c>
      <c r="C165" s="81">
        <f>IFERROR(__xludf.DUMMYFUNCTION("""COMPUTED_VALUE"""),2.0)</f>
        <v>2</v>
      </c>
      <c r="D165" s="81">
        <f>IFERROR(__xludf.DUMMYFUNCTION("""COMPUTED_VALUE"""),2.0)</f>
        <v>2</v>
      </c>
      <c r="E165" s="81">
        <f>IFERROR(__xludf.DUMMYFUNCTION("""COMPUTED_VALUE"""),3.0)</f>
        <v>3</v>
      </c>
    </row>
    <row r="166">
      <c r="A166" s="81" t="str">
        <f>IFERROR(__xludf.DUMMYFUNCTION("""COMPUTED_VALUE"""),"Emil A")</f>
        <v>Emil A</v>
      </c>
      <c r="B166" s="81">
        <f>IFERROR(__xludf.DUMMYFUNCTION("""COMPUTED_VALUE"""),0.0)</f>
        <v>0</v>
      </c>
      <c r="C166" s="81">
        <f>IFERROR(__xludf.DUMMYFUNCTION("""COMPUTED_VALUE"""),3.0)</f>
        <v>3</v>
      </c>
      <c r="D166" s="81">
        <f>IFERROR(__xludf.DUMMYFUNCTION("""COMPUTED_VALUE"""),2.0)</f>
        <v>2</v>
      </c>
      <c r="E166" s="81">
        <f>IFERROR(__xludf.DUMMYFUNCTION("""COMPUTED_VALUE"""),3.0)</f>
        <v>3</v>
      </c>
    </row>
    <row r="167">
      <c r="A167" s="81" t="str">
        <f>IFERROR(__xludf.DUMMYFUNCTION("""COMPUTED_VALUE"""),"Ivan N")</f>
        <v>Ivan N</v>
      </c>
      <c r="B167" s="81">
        <f>IFERROR(__xludf.DUMMYFUNCTION("""COMPUTED_VALUE"""),2.0)</f>
        <v>2</v>
      </c>
      <c r="C167" s="81">
        <f>IFERROR(__xludf.DUMMYFUNCTION("""COMPUTED_VALUE"""),2.0)</f>
        <v>2</v>
      </c>
      <c r="D167" s="81">
        <f>IFERROR(__xludf.DUMMYFUNCTION("""COMPUTED_VALUE"""),2.0)</f>
        <v>2</v>
      </c>
      <c r="E167" s="81">
        <f>IFERROR(__xludf.DUMMYFUNCTION("""COMPUTED_VALUE"""),3.0)</f>
        <v>3</v>
      </c>
    </row>
    <row r="168">
      <c r="A168" s="81" t="str">
        <f>IFERROR(__xludf.DUMMYFUNCTION("""COMPUTED_VALUE"""),"Joel C")</f>
        <v>Joel C</v>
      </c>
      <c r="B168" s="81">
        <f>IFERROR(__xludf.DUMMYFUNCTION("""COMPUTED_VALUE"""),3.0)</f>
        <v>3</v>
      </c>
      <c r="C168" s="81">
        <f>IFERROR(__xludf.DUMMYFUNCTION("""COMPUTED_VALUE"""),2.0)</f>
        <v>2</v>
      </c>
      <c r="D168" s="81">
        <f>IFERROR(__xludf.DUMMYFUNCTION("""COMPUTED_VALUE"""),2.0)</f>
        <v>2</v>
      </c>
      <c r="E168" s="81">
        <f>IFERROR(__xludf.DUMMYFUNCTION("""COMPUTED_VALUE"""),3.0)</f>
        <v>3</v>
      </c>
    </row>
    <row r="169">
      <c r="A169" s="81" t="str">
        <f>IFERROR(__xludf.DUMMYFUNCTION("""COMPUTED_VALUE"""),"Yvan I")</f>
        <v>Yvan I</v>
      </c>
      <c r="B169" s="81">
        <f>IFERROR(__xludf.DUMMYFUNCTION("""COMPUTED_VALUE"""),2.0)</f>
        <v>2</v>
      </c>
      <c r="C169" s="81">
        <f>IFERROR(__xludf.DUMMYFUNCTION("""COMPUTED_VALUE"""),3.0)</f>
        <v>3</v>
      </c>
      <c r="D169" s="81">
        <f>IFERROR(__xludf.DUMMYFUNCTION("""COMPUTED_VALUE"""),2.0)</f>
        <v>2</v>
      </c>
      <c r="E169" s="81">
        <f>IFERROR(__xludf.DUMMYFUNCTION("""COMPUTED_VALUE"""),3.0)</f>
        <v>3</v>
      </c>
    </row>
    <row r="170">
      <c r="A170" s="81" t="str">
        <f>IFERROR(__xludf.DUMMYFUNCTION("""COMPUTED_VALUE"""),"Dennis F")</f>
        <v>Dennis F</v>
      </c>
      <c r="B170" s="81">
        <f>IFERROR(__xludf.DUMMYFUNCTION("""COMPUTED_VALUE"""),5.0)</f>
        <v>5</v>
      </c>
      <c r="C170" s="81">
        <f>IFERROR(__xludf.DUMMYFUNCTION("""COMPUTED_VALUE"""),4.0)</f>
        <v>4</v>
      </c>
      <c r="D170" s="81">
        <f>IFERROR(__xludf.DUMMYFUNCTION("""COMPUTED_VALUE"""),2.0)</f>
        <v>2</v>
      </c>
      <c r="E170" s="81">
        <f>IFERROR(__xludf.DUMMYFUNCTION("""COMPUTED_VALUE"""),2.0)</f>
        <v>2</v>
      </c>
    </row>
    <row r="171">
      <c r="A171" s="81" t="str">
        <f>IFERROR(__xludf.DUMMYFUNCTION("""COMPUTED_VALUE"""),"Aria A")</f>
        <v>Aria A</v>
      </c>
      <c r="B171" s="81">
        <f>IFERROR(__xludf.DUMMYFUNCTION("""COMPUTED_VALUE"""),3.0)</f>
        <v>3</v>
      </c>
      <c r="C171" s="81">
        <f>IFERROR(__xludf.DUMMYFUNCTION("""COMPUTED_VALUE"""),4.0)</f>
        <v>4</v>
      </c>
      <c r="D171" s="81">
        <f>IFERROR(__xludf.DUMMYFUNCTION("""COMPUTED_VALUE"""),2.0)</f>
        <v>2</v>
      </c>
      <c r="E171" s="81">
        <f>IFERROR(__xludf.DUMMYFUNCTION("""COMPUTED_VALUE"""),2.0)</f>
        <v>2</v>
      </c>
    </row>
    <row r="172">
      <c r="A172" s="81" t="str">
        <f>IFERROR(__xludf.DUMMYFUNCTION("""COMPUTED_VALUE"""),"Shahir I")</f>
        <v>Shahir I</v>
      </c>
      <c r="B172" s="81">
        <f>IFERROR(__xludf.DUMMYFUNCTION("""COMPUTED_VALUE"""),1.0)</f>
        <v>1</v>
      </c>
      <c r="C172" s="81">
        <f>IFERROR(__xludf.DUMMYFUNCTION("""COMPUTED_VALUE"""),2.0)</f>
        <v>2</v>
      </c>
      <c r="D172" s="81">
        <f>IFERROR(__xludf.DUMMYFUNCTION("""COMPUTED_VALUE"""),2.0)</f>
        <v>2</v>
      </c>
      <c r="E172" s="81">
        <f>IFERROR(__xludf.DUMMYFUNCTION("""COMPUTED_VALUE"""),2.0)</f>
        <v>2</v>
      </c>
    </row>
    <row r="173">
      <c r="A173" s="81" t="str">
        <f>IFERROR(__xludf.DUMMYFUNCTION("""COMPUTED_VALUE"""),"Henrik O")</f>
        <v>Henrik O</v>
      </c>
      <c r="B173" s="81">
        <f>IFERROR(__xludf.DUMMYFUNCTION("""COMPUTED_VALUE"""),3.0)</f>
        <v>3</v>
      </c>
      <c r="C173" s="81">
        <f>IFERROR(__xludf.DUMMYFUNCTION("""COMPUTED_VALUE"""),0.0)</f>
        <v>0</v>
      </c>
      <c r="D173" s="81">
        <f>IFERROR(__xludf.DUMMYFUNCTION("""COMPUTED_VALUE"""),2.0)</f>
        <v>2</v>
      </c>
      <c r="E173" s="81">
        <f>IFERROR(__xludf.DUMMYFUNCTION("""COMPUTED_VALUE"""),2.0)</f>
        <v>2</v>
      </c>
    </row>
    <row r="174">
      <c r="A174" s="81" t="str">
        <f>IFERROR(__xludf.DUMMYFUNCTION("""COMPUTED_VALUE"""),"Yvan I")</f>
        <v>Yvan I</v>
      </c>
      <c r="B174" s="81">
        <f>IFERROR(__xludf.DUMMYFUNCTION("""COMPUTED_VALUE"""),0.0)</f>
        <v>0</v>
      </c>
      <c r="C174" s="81">
        <f>IFERROR(__xludf.DUMMYFUNCTION("""COMPUTED_VALUE"""),0.0)</f>
        <v>0</v>
      </c>
      <c r="D174" s="81">
        <f>IFERROR(__xludf.DUMMYFUNCTION("""COMPUTED_VALUE"""),0.0)</f>
        <v>0</v>
      </c>
      <c r="E174" s="81">
        <f>IFERROR(__xludf.DUMMYFUNCTION("""COMPUTED_VALUE"""),0.0)</f>
        <v>0</v>
      </c>
    </row>
    <row r="175">
      <c r="A175" s="81" t="str">
        <f>IFERROR(__xludf.DUMMYFUNCTION("""COMPUTED_VALUE"""),"Aria A")</f>
        <v>Aria A</v>
      </c>
      <c r="B175" s="81">
        <f>IFERROR(__xludf.DUMMYFUNCTION("""COMPUTED_VALUE"""),0.0)</f>
        <v>0</v>
      </c>
      <c r="C175" s="81">
        <f>IFERROR(__xludf.DUMMYFUNCTION("""COMPUTED_VALUE"""),0.0)</f>
        <v>0</v>
      </c>
      <c r="D175" s="81">
        <f>IFERROR(__xludf.DUMMYFUNCTION("""COMPUTED_VALUE"""),0.0)</f>
        <v>0</v>
      </c>
      <c r="E175" s="81">
        <f>IFERROR(__xludf.DUMMYFUNCTION("""COMPUTED_VALUE"""),0.0)</f>
        <v>0</v>
      </c>
    </row>
    <row r="176">
      <c r="A176" s="81" t="str">
        <f>IFERROR(__xludf.DUMMYFUNCTION("""COMPUTED_VALUE"""),"Pontus S")</f>
        <v>Pontus S</v>
      </c>
      <c r="B176" s="81">
        <f>IFERROR(__xludf.DUMMYFUNCTION("""COMPUTED_VALUE"""),0.0)</f>
        <v>0</v>
      </c>
      <c r="C176" s="81">
        <f>IFERROR(__xludf.DUMMYFUNCTION("""COMPUTED_VALUE"""),0.0)</f>
        <v>0</v>
      </c>
      <c r="D176" s="81">
        <f>IFERROR(__xludf.DUMMYFUNCTION("""COMPUTED_VALUE"""),0.0)</f>
        <v>0</v>
      </c>
      <c r="E176" s="81">
        <f>IFERROR(__xludf.DUMMYFUNCTION("""COMPUTED_VALUE"""),0.0)</f>
        <v>0</v>
      </c>
    </row>
    <row r="177">
      <c r="A177" s="81" t="str">
        <f>IFERROR(__xludf.DUMMYFUNCTION("""COMPUTED_VALUE"""),"Jesper N")</f>
        <v>Jesper N</v>
      </c>
      <c r="B177" s="81">
        <f>IFERROR(__xludf.DUMMYFUNCTION("""COMPUTED_VALUE"""),0.0)</f>
        <v>0</v>
      </c>
      <c r="C177" s="81">
        <f>IFERROR(__xludf.DUMMYFUNCTION("""COMPUTED_VALUE"""),0.0)</f>
        <v>0</v>
      </c>
      <c r="D177" s="81">
        <f>IFERROR(__xludf.DUMMYFUNCTION("""COMPUTED_VALUE"""),0.0)</f>
        <v>0</v>
      </c>
      <c r="E177" s="81">
        <f>IFERROR(__xludf.DUMMYFUNCTION("""COMPUTED_VALUE"""),0.0)</f>
        <v>0</v>
      </c>
    </row>
    <row r="178">
      <c r="A178" s="81" t="str">
        <f>IFERROR(__xludf.DUMMYFUNCTION("""COMPUTED_VALUE"""),"Casper W")</f>
        <v>Casper W</v>
      </c>
      <c r="B178" s="81">
        <f>IFERROR(__xludf.DUMMYFUNCTION("""COMPUTED_VALUE"""),1.0)</f>
        <v>1</v>
      </c>
      <c r="C178" s="81">
        <f>IFERROR(__xludf.DUMMYFUNCTION("""COMPUTED_VALUE"""),0.0)</f>
        <v>0</v>
      </c>
      <c r="D178" s="81">
        <f>IFERROR(__xludf.DUMMYFUNCTION("""COMPUTED_VALUE"""),0.0)</f>
        <v>0</v>
      </c>
      <c r="E178" s="81">
        <f>IFERROR(__xludf.DUMMYFUNCTION("""COMPUTED_VALUE"""),7.0)</f>
        <v>7</v>
      </c>
    </row>
    <row r="179">
      <c r="A179" s="81" t="str">
        <f>IFERROR(__xludf.DUMMYFUNCTION("""COMPUTED_VALUE"""),"Immanuel A")</f>
        <v>Immanuel A</v>
      </c>
      <c r="B179" s="81">
        <f>IFERROR(__xludf.DUMMYFUNCTION("""COMPUTED_VALUE"""),1.0)</f>
        <v>1</v>
      </c>
      <c r="C179" s="81">
        <f>IFERROR(__xludf.DUMMYFUNCTION("""COMPUTED_VALUE"""),1.0)</f>
        <v>1</v>
      </c>
      <c r="D179" s="81">
        <f>IFERROR(__xludf.DUMMYFUNCTION("""COMPUTED_VALUE"""),0.0)</f>
        <v>0</v>
      </c>
      <c r="E179" s="81">
        <f>IFERROR(__xludf.DUMMYFUNCTION("""COMPUTED_VALUE"""),7.0)</f>
        <v>7</v>
      </c>
    </row>
    <row r="180">
      <c r="A180" s="81" t="str">
        <f>IFERROR(__xludf.DUMMYFUNCTION("""COMPUTED_VALUE"""),"Oliver G")</f>
        <v>Oliver G</v>
      </c>
      <c r="B180" s="81">
        <f>IFERROR(__xludf.DUMMYFUNCTION("""COMPUTED_VALUE"""),0.0)</f>
        <v>0</v>
      </c>
      <c r="C180" s="81">
        <f>IFERROR(__xludf.DUMMYFUNCTION("""COMPUTED_VALUE"""),0.0)</f>
        <v>0</v>
      </c>
      <c r="D180" s="81">
        <f>IFERROR(__xludf.DUMMYFUNCTION("""COMPUTED_VALUE"""),0.0)</f>
        <v>0</v>
      </c>
      <c r="E180" s="81">
        <f>IFERROR(__xludf.DUMMYFUNCTION("""COMPUTED_VALUE"""),7.0)</f>
        <v>7</v>
      </c>
    </row>
    <row r="181">
      <c r="A181" s="81" t="str">
        <f>IFERROR(__xludf.DUMMYFUNCTION("""COMPUTED_VALUE"""),"William X")</f>
        <v>William X</v>
      </c>
      <c r="B181" s="81">
        <f>IFERROR(__xludf.DUMMYFUNCTION("""COMPUTED_VALUE"""),0.0)</f>
        <v>0</v>
      </c>
      <c r="C181" s="81">
        <f>IFERROR(__xludf.DUMMYFUNCTION("""COMPUTED_VALUE"""),0.0)</f>
        <v>0</v>
      </c>
      <c r="D181" s="81">
        <f>IFERROR(__xludf.DUMMYFUNCTION("""COMPUTED_VALUE"""),0.0)</f>
        <v>0</v>
      </c>
      <c r="E181" s="81">
        <f>IFERROR(__xludf.DUMMYFUNCTION("""COMPUTED_VALUE"""),7.0)</f>
        <v>7</v>
      </c>
    </row>
    <row r="182">
      <c r="A182" s="81" t="str">
        <f>IFERROR(__xludf.DUMMYFUNCTION("""COMPUTED_VALUE"""),"Yvan I")</f>
        <v>Yvan I</v>
      </c>
      <c r="B182" s="81">
        <f>IFERROR(__xludf.DUMMYFUNCTION("""COMPUTED_VALUE"""),0.0)</f>
        <v>0</v>
      </c>
      <c r="C182" s="81">
        <f>IFERROR(__xludf.DUMMYFUNCTION("""COMPUTED_VALUE"""),0.0)</f>
        <v>0</v>
      </c>
      <c r="D182" s="81">
        <f>IFERROR(__xludf.DUMMYFUNCTION("""COMPUTED_VALUE"""),0.0)</f>
        <v>0</v>
      </c>
      <c r="E182" s="81">
        <f>IFERROR(__xludf.DUMMYFUNCTION("""COMPUTED_VALUE"""),7.0)</f>
        <v>7</v>
      </c>
    </row>
    <row r="183">
      <c r="A183" s="81" t="str">
        <f>IFERROR(__xludf.DUMMYFUNCTION("""COMPUTED_VALUE"""),"Albert A")</f>
        <v>Albert A</v>
      </c>
      <c r="B183" s="81">
        <f>IFERROR(__xludf.DUMMYFUNCTION("""COMPUTED_VALUE"""),0.0)</f>
        <v>0</v>
      </c>
      <c r="C183" s="81">
        <f>IFERROR(__xludf.DUMMYFUNCTION("""COMPUTED_VALUE"""),0.0)</f>
        <v>0</v>
      </c>
      <c r="D183" s="81">
        <f>IFERROR(__xludf.DUMMYFUNCTION("""COMPUTED_VALUE"""),2.0)</f>
        <v>2</v>
      </c>
      <c r="E183" s="81">
        <f>IFERROR(__xludf.DUMMYFUNCTION("""COMPUTED_VALUE"""),3.0)</f>
        <v>3</v>
      </c>
    </row>
    <row r="184">
      <c r="A184" s="81" t="str">
        <f>IFERROR(__xludf.DUMMYFUNCTION("""COMPUTED_VALUE"""),"Aria A")</f>
        <v>Aria A</v>
      </c>
      <c r="B184" s="81">
        <f>IFERROR(__xludf.DUMMYFUNCTION("""COMPUTED_VALUE"""),1.0)</f>
        <v>1</v>
      </c>
      <c r="C184" s="81">
        <f>IFERROR(__xludf.DUMMYFUNCTION("""COMPUTED_VALUE"""),1.0)</f>
        <v>1</v>
      </c>
      <c r="D184" s="81">
        <f>IFERROR(__xludf.DUMMYFUNCTION("""COMPUTED_VALUE"""),2.0)</f>
        <v>2</v>
      </c>
      <c r="E184" s="81">
        <f>IFERROR(__xludf.DUMMYFUNCTION("""COMPUTED_VALUE"""),3.0)</f>
        <v>3</v>
      </c>
    </row>
    <row r="185">
      <c r="A185" s="81" t="str">
        <f>IFERROR(__xludf.DUMMYFUNCTION("""COMPUTED_VALUE"""),"Jakob S")</f>
        <v>Jakob S</v>
      </c>
      <c r="B185" s="81">
        <f>IFERROR(__xludf.DUMMYFUNCTION("""COMPUTED_VALUE"""),3.0)</f>
        <v>3</v>
      </c>
      <c r="C185" s="81">
        <f>IFERROR(__xludf.DUMMYFUNCTION("""COMPUTED_VALUE"""),0.0)</f>
        <v>0</v>
      </c>
      <c r="D185" s="81">
        <f>IFERROR(__xludf.DUMMYFUNCTION("""COMPUTED_VALUE"""),2.0)</f>
        <v>2</v>
      </c>
      <c r="E185" s="81">
        <f>IFERROR(__xludf.DUMMYFUNCTION("""COMPUTED_VALUE"""),3.0)</f>
        <v>3</v>
      </c>
    </row>
    <row r="186">
      <c r="A186" s="81" t="str">
        <f>IFERROR(__xludf.DUMMYFUNCTION("""COMPUTED_VALUE"""),"Samuel P")</f>
        <v>Samuel P</v>
      </c>
      <c r="B186" s="81">
        <f>IFERROR(__xludf.DUMMYFUNCTION("""COMPUTED_VALUE"""),1.0)</f>
        <v>1</v>
      </c>
      <c r="C186" s="81">
        <f>IFERROR(__xludf.DUMMYFUNCTION("""COMPUTED_VALUE"""),3.0)</f>
        <v>3</v>
      </c>
      <c r="D186" s="81">
        <f>IFERROR(__xludf.DUMMYFUNCTION("""COMPUTED_VALUE"""),2.0)</f>
        <v>2</v>
      </c>
      <c r="E186" s="81">
        <f>IFERROR(__xludf.DUMMYFUNCTION("""COMPUTED_VALUE"""),3.0)</f>
        <v>3</v>
      </c>
    </row>
    <row r="187">
      <c r="A187" s="81" t="str">
        <f>IFERROR(__xludf.DUMMYFUNCTION("""COMPUTED_VALUE"""),"Benjamin L")</f>
        <v>Benjamin L</v>
      </c>
      <c r="B187" s="81">
        <f>IFERROR(__xludf.DUMMYFUNCTION("""COMPUTED_VALUE"""),1.0)</f>
        <v>1</v>
      </c>
      <c r="C187" s="81">
        <f>IFERROR(__xludf.DUMMYFUNCTION("""COMPUTED_VALUE"""),0.0)</f>
        <v>0</v>
      </c>
      <c r="D187" s="81">
        <f>IFERROR(__xludf.DUMMYFUNCTION("""COMPUTED_VALUE"""),3.0)</f>
        <v>3</v>
      </c>
      <c r="E187" s="81">
        <f>IFERROR(__xludf.DUMMYFUNCTION("""COMPUTED_VALUE"""),2.0)</f>
        <v>2</v>
      </c>
    </row>
    <row r="188">
      <c r="A188" s="81" t="str">
        <f>IFERROR(__xludf.DUMMYFUNCTION("""COMPUTED_VALUE"""),"Dennis F")</f>
        <v>Dennis F</v>
      </c>
      <c r="B188" s="81">
        <f>IFERROR(__xludf.DUMMYFUNCTION("""COMPUTED_VALUE"""),2.0)</f>
        <v>2</v>
      </c>
      <c r="C188" s="81">
        <f>IFERROR(__xludf.DUMMYFUNCTION("""COMPUTED_VALUE"""),2.0)</f>
        <v>2</v>
      </c>
      <c r="D188" s="81">
        <f>IFERROR(__xludf.DUMMYFUNCTION("""COMPUTED_VALUE"""),3.0)</f>
        <v>3</v>
      </c>
      <c r="E188" s="81">
        <f>IFERROR(__xludf.DUMMYFUNCTION("""COMPUTED_VALUE"""),2.0)</f>
        <v>2</v>
      </c>
    </row>
    <row r="189">
      <c r="A189" s="81" t="str">
        <f>IFERROR(__xludf.DUMMYFUNCTION("""COMPUTED_VALUE"""),"Ivan N")</f>
        <v>Ivan N</v>
      </c>
      <c r="B189" s="81">
        <f>IFERROR(__xludf.DUMMYFUNCTION("""COMPUTED_VALUE"""),3.0)</f>
        <v>3</v>
      </c>
      <c r="C189" s="81">
        <f>IFERROR(__xludf.DUMMYFUNCTION("""COMPUTED_VALUE"""),6.0)</f>
        <v>6</v>
      </c>
      <c r="D189" s="81">
        <f>IFERROR(__xludf.DUMMYFUNCTION("""COMPUTED_VALUE"""),3.0)</f>
        <v>3</v>
      </c>
      <c r="E189" s="81">
        <f>IFERROR(__xludf.DUMMYFUNCTION("""COMPUTED_VALUE"""),2.0)</f>
        <v>2</v>
      </c>
    </row>
    <row r="190">
      <c r="A190" s="81" t="str">
        <f>IFERROR(__xludf.DUMMYFUNCTION("""COMPUTED_VALUE"""),"Oskar R")</f>
        <v>Oskar R</v>
      </c>
      <c r="B190" s="81">
        <f>IFERROR(__xludf.DUMMYFUNCTION("""COMPUTED_VALUE"""),4.0)</f>
        <v>4</v>
      </c>
      <c r="C190" s="81">
        <f>IFERROR(__xludf.DUMMYFUNCTION("""COMPUTED_VALUE"""),1.0)</f>
        <v>1</v>
      </c>
      <c r="D190" s="81">
        <f>IFERROR(__xludf.DUMMYFUNCTION("""COMPUTED_VALUE"""),3.0)</f>
        <v>3</v>
      </c>
      <c r="E190" s="81">
        <f>IFERROR(__xludf.DUMMYFUNCTION("""COMPUTED_VALUE"""),2.0)</f>
        <v>2</v>
      </c>
    </row>
    <row r="191">
      <c r="A191" s="81" t="str">
        <f>IFERROR(__xludf.DUMMYFUNCTION("""COMPUTED_VALUE"""),"Shoresh A")</f>
        <v>Shoresh A</v>
      </c>
      <c r="B191" s="81">
        <f>IFERROR(__xludf.DUMMYFUNCTION("""COMPUTED_VALUE"""),3.0)</f>
        <v>3</v>
      </c>
      <c r="C191" s="81">
        <f>IFERROR(__xludf.DUMMYFUNCTION("""COMPUTED_VALUE"""),2.0)</f>
        <v>2</v>
      </c>
      <c r="D191" s="81">
        <f>IFERROR(__xludf.DUMMYFUNCTION("""COMPUTED_VALUE"""),3.0)</f>
        <v>3</v>
      </c>
      <c r="E191" s="81">
        <f>IFERROR(__xludf.DUMMYFUNCTION("""COMPUTED_VALUE"""),2.0)</f>
        <v>2</v>
      </c>
    </row>
    <row r="192">
      <c r="A192" s="81" t="str">
        <f>IFERROR(__xludf.DUMMYFUNCTION("""COMPUTED_VALUE"""),"Aria A")</f>
        <v>Aria A</v>
      </c>
      <c r="B192" s="81">
        <f>IFERROR(__xludf.DUMMYFUNCTION("""COMPUTED_VALUE"""),3.0)</f>
        <v>3</v>
      </c>
      <c r="C192" s="81">
        <f>IFERROR(__xludf.DUMMYFUNCTION("""COMPUTED_VALUE"""),1.0)</f>
        <v>1</v>
      </c>
      <c r="D192" s="81">
        <f>IFERROR(__xludf.DUMMYFUNCTION("""COMPUTED_VALUE"""),3.0)</f>
        <v>3</v>
      </c>
      <c r="E192" s="81">
        <f>IFERROR(__xludf.DUMMYFUNCTION("""COMPUTED_VALUE"""),1.0)</f>
        <v>1</v>
      </c>
    </row>
    <row r="193">
      <c r="A193" s="81" t="str">
        <f>IFERROR(__xludf.DUMMYFUNCTION("""COMPUTED_VALUE"""),"Jakob S")</f>
        <v>Jakob S</v>
      </c>
      <c r="B193" s="81">
        <f>IFERROR(__xludf.DUMMYFUNCTION("""COMPUTED_VALUE"""),2.0)</f>
        <v>2</v>
      </c>
      <c r="C193" s="81">
        <f>IFERROR(__xludf.DUMMYFUNCTION("""COMPUTED_VALUE"""),6.0)</f>
        <v>6</v>
      </c>
      <c r="D193" s="81">
        <f>IFERROR(__xludf.DUMMYFUNCTION("""COMPUTED_VALUE"""),3.0)</f>
        <v>3</v>
      </c>
      <c r="E193" s="81">
        <f>IFERROR(__xludf.DUMMYFUNCTION("""COMPUTED_VALUE"""),1.0)</f>
        <v>1</v>
      </c>
    </row>
    <row r="194">
      <c r="A194" s="81" t="str">
        <f>IFERROR(__xludf.DUMMYFUNCTION("""COMPUTED_VALUE"""),"Leo F")</f>
        <v>Leo F</v>
      </c>
      <c r="B194" s="81">
        <f>IFERROR(__xludf.DUMMYFUNCTION("""COMPUTED_VALUE"""),5.0)</f>
        <v>5</v>
      </c>
      <c r="C194" s="81">
        <f>IFERROR(__xludf.DUMMYFUNCTION("""COMPUTED_VALUE"""),3.0)</f>
        <v>3</v>
      </c>
      <c r="D194" s="81">
        <f>IFERROR(__xludf.DUMMYFUNCTION("""COMPUTED_VALUE"""),3.0)</f>
        <v>3</v>
      </c>
      <c r="E194" s="81">
        <f>IFERROR(__xludf.DUMMYFUNCTION("""COMPUTED_VALUE"""),1.0)</f>
        <v>1</v>
      </c>
    </row>
    <row r="195">
      <c r="A195" s="81" t="str">
        <f>IFERROR(__xludf.DUMMYFUNCTION("""COMPUTED_VALUE"""),"Oliver G")</f>
        <v>Oliver G</v>
      </c>
      <c r="B195" s="81">
        <f>IFERROR(__xludf.DUMMYFUNCTION("""COMPUTED_VALUE"""),3.0)</f>
        <v>3</v>
      </c>
      <c r="C195" s="81">
        <f>IFERROR(__xludf.DUMMYFUNCTION("""COMPUTED_VALUE"""),2.0)</f>
        <v>2</v>
      </c>
      <c r="D195" s="81">
        <f>IFERROR(__xludf.DUMMYFUNCTION("""COMPUTED_VALUE"""),3.0)</f>
        <v>3</v>
      </c>
      <c r="E195" s="81">
        <f>IFERROR(__xludf.DUMMYFUNCTION("""COMPUTED_VALUE"""),1.0)</f>
        <v>1</v>
      </c>
    </row>
    <row r="196">
      <c r="A196" s="81" t="str">
        <f>IFERROR(__xludf.DUMMYFUNCTION("""COMPUTED_VALUE"""),"Emil A")</f>
        <v>Emil A</v>
      </c>
      <c r="B196" s="81">
        <f>IFERROR(__xludf.DUMMYFUNCTION("""COMPUTED_VALUE"""),1.0)</f>
        <v>1</v>
      </c>
      <c r="C196" s="81">
        <f>IFERROR(__xludf.DUMMYFUNCTION("""COMPUTED_VALUE"""),0.0)</f>
        <v>0</v>
      </c>
      <c r="D196" s="81">
        <f>IFERROR(__xludf.DUMMYFUNCTION("""COMPUTED_VALUE"""),4.0)</f>
        <v>4</v>
      </c>
      <c r="E196" s="81">
        <f>IFERROR(__xludf.DUMMYFUNCTION("""COMPUTED_VALUE"""),3.0)</f>
        <v>3</v>
      </c>
    </row>
    <row r="197">
      <c r="A197" s="81" t="str">
        <f>IFERROR(__xludf.DUMMYFUNCTION("""COMPUTED_VALUE"""),"George")</f>
        <v>George</v>
      </c>
      <c r="B197" s="81">
        <f>IFERROR(__xludf.DUMMYFUNCTION("""COMPUTED_VALUE"""),1.0)</f>
        <v>1</v>
      </c>
      <c r="C197" s="81">
        <f>IFERROR(__xludf.DUMMYFUNCTION("""COMPUTED_VALUE"""),0.0)</f>
        <v>0</v>
      </c>
      <c r="D197" s="81">
        <f>IFERROR(__xludf.DUMMYFUNCTION("""COMPUTED_VALUE"""),4.0)</f>
        <v>4</v>
      </c>
      <c r="E197" s="81">
        <f>IFERROR(__xludf.DUMMYFUNCTION("""COMPUTED_VALUE"""),3.0)</f>
        <v>3</v>
      </c>
    </row>
    <row r="198">
      <c r="A198" s="81" t="str">
        <f>IFERROR(__xludf.DUMMYFUNCTION("""COMPUTED_VALUE"""),"Henrik O")</f>
        <v>Henrik O</v>
      </c>
      <c r="B198" s="81">
        <f>IFERROR(__xludf.DUMMYFUNCTION("""COMPUTED_VALUE"""),2.0)</f>
        <v>2</v>
      </c>
      <c r="C198" s="81">
        <f>IFERROR(__xludf.DUMMYFUNCTION("""COMPUTED_VALUE"""),0.0)</f>
        <v>0</v>
      </c>
      <c r="D198" s="81">
        <f>IFERROR(__xludf.DUMMYFUNCTION("""COMPUTED_VALUE"""),4.0)</f>
        <v>4</v>
      </c>
      <c r="E198" s="81">
        <f>IFERROR(__xludf.DUMMYFUNCTION("""COMPUTED_VALUE"""),3.0)</f>
        <v>3</v>
      </c>
    </row>
    <row r="199">
      <c r="A199" s="81" t="str">
        <f>IFERROR(__xludf.DUMMYFUNCTION("""COMPUTED_VALUE"""),"Ivan N")</f>
        <v>Ivan N</v>
      </c>
      <c r="B199" s="81">
        <f>IFERROR(__xludf.DUMMYFUNCTION("""COMPUTED_VALUE"""),1.0)</f>
        <v>1</v>
      </c>
      <c r="C199" s="81">
        <f>IFERROR(__xludf.DUMMYFUNCTION("""COMPUTED_VALUE"""),1.0)</f>
        <v>1</v>
      </c>
      <c r="D199" s="81">
        <f>IFERROR(__xludf.DUMMYFUNCTION("""COMPUTED_VALUE"""),4.0)</f>
        <v>4</v>
      </c>
      <c r="E199" s="81">
        <f>IFERROR(__xludf.DUMMYFUNCTION("""COMPUTED_VALUE"""),3.0)</f>
        <v>3</v>
      </c>
    </row>
    <row r="200">
      <c r="A200" s="81" t="str">
        <f>IFERROR(__xludf.DUMMYFUNCTION("""COMPUTED_VALUE"""),"Joel C")</f>
        <v>Joel C</v>
      </c>
      <c r="B200" s="81">
        <f>IFERROR(__xludf.DUMMYFUNCTION("""COMPUTED_VALUE"""),0.0)</f>
        <v>0</v>
      </c>
      <c r="C200" s="81">
        <f>IFERROR(__xludf.DUMMYFUNCTION("""COMPUTED_VALUE"""),3.0)</f>
        <v>3</v>
      </c>
      <c r="D200" s="81">
        <f>IFERROR(__xludf.DUMMYFUNCTION("""COMPUTED_VALUE"""),4.0)</f>
        <v>4</v>
      </c>
      <c r="E200" s="81">
        <f>IFERROR(__xludf.DUMMYFUNCTION("""COMPUTED_VALUE"""),3.0)</f>
        <v>3</v>
      </c>
    </row>
    <row r="201">
      <c r="A201" s="81" t="str">
        <f>IFERROR(__xludf.DUMMYFUNCTION("""COMPUTED_VALUE"""),"Oskar R")</f>
        <v>Oskar R</v>
      </c>
      <c r="B201" s="81">
        <f>IFERROR(__xludf.DUMMYFUNCTION("""COMPUTED_VALUE"""),1.0)</f>
        <v>1</v>
      </c>
      <c r="C201" s="81">
        <f>IFERROR(__xludf.DUMMYFUNCTION("""COMPUTED_VALUE"""),2.0)</f>
        <v>2</v>
      </c>
      <c r="D201" s="81">
        <f>IFERROR(__xludf.DUMMYFUNCTION("""COMPUTED_VALUE"""),4.0)</f>
        <v>4</v>
      </c>
      <c r="E201" s="81">
        <f>IFERROR(__xludf.DUMMYFUNCTION("""COMPUTED_VALUE"""),3.0)</f>
        <v>3</v>
      </c>
    </row>
    <row r="202">
      <c r="A202" s="81" t="str">
        <f>IFERROR(__xludf.DUMMYFUNCTION("""COMPUTED_VALUE"""),"Daniel K")</f>
        <v>Daniel K</v>
      </c>
      <c r="B202" s="81">
        <f>IFERROR(__xludf.DUMMYFUNCTION("""COMPUTED_VALUE"""),3.0)</f>
        <v>3</v>
      </c>
      <c r="C202" s="81">
        <f>IFERROR(__xludf.DUMMYFUNCTION("""COMPUTED_VALUE"""),1.0)</f>
        <v>1</v>
      </c>
      <c r="D202" s="81">
        <f>IFERROR(__xludf.DUMMYFUNCTION("""COMPUTED_VALUE"""),3.0)</f>
        <v>3</v>
      </c>
      <c r="E202" s="81">
        <f>IFERROR(__xludf.DUMMYFUNCTION("""COMPUTED_VALUE"""),3.0)</f>
        <v>3</v>
      </c>
    </row>
    <row r="203">
      <c r="A203" s="81" t="str">
        <f>IFERROR(__xludf.DUMMYFUNCTION("""COMPUTED_VALUE"""),"Leo F")</f>
        <v>Leo F</v>
      </c>
      <c r="B203" s="81">
        <f>IFERROR(__xludf.DUMMYFUNCTION("""COMPUTED_VALUE"""),2.0)</f>
        <v>2</v>
      </c>
      <c r="C203" s="81">
        <f>IFERROR(__xludf.DUMMYFUNCTION("""COMPUTED_VALUE"""),1.0)</f>
        <v>1</v>
      </c>
      <c r="D203" s="81">
        <f>IFERROR(__xludf.DUMMYFUNCTION("""COMPUTED_VALUE"""),3.0)</f>
        <v>3</v>
      </c>
      <c r="E203" s="81">
        <f>IFERROR(__xludf.DUMMYFUNCTION("""COMPUTED_VALUE"""),3.0)</f>
        <v>3</v>
      </c>
    </row>
    <row r="204">
      <c r="A204" s="81" t="str">
        <f>IFERROR(__xludf.DUMMYFUNCTION("""COMPUTED_VALUE"""),"Oskar R")</f>
        <v>Oskar R</v>
      </c>
      <c r="B204" s="81">
        <f>IFERROR(__xludf.DUMMYFUNCTION("""COMPUTED_VALUE"""),0.0)</f>
        <v>0</v>
      </c>
      <c r="C204" s="81">
        <f>IFERROR(__xludf.DUMMYFUNCTION("""COMPUTED_VALUE"""),1.0)</f>
        <v>1</v>
      </c>
      <c r="D204" s="81">
        <f>IFERROR(__xludf.DUMMYFUNCTION("""COMPUTED_VALUE"""),3.0)</f>
        <v>3</v>
      </c>
      <c r="E204" s="81">
        <f>IFERROR(__xludf.DUMMYFUNCTION("""COMPUTED_VALUE"""),3.0)</f>
        <v>3</v>
      </c>
    </row>
    <row r="205">
      <c r="A205" s="81" t="str">
        <f>IFERROR(__xludf.DUMMYFUNCTION("""COMPUTED_VALUE"""),"Shahir I")</f>
        <v>Shahir I</v>
      </c>
      <c r="B205" s="81">
        <f>IFERROR(__xludf.DUMMYFUNCTION("""COMPUTED_VALUE"""),0.0)</f>
        <v>0</v>
      </c>
      <c r="C205" s="81">
        <f>IFERROR(__xludf.DUMMYFUNCTION("""COMPUTED_VALUE"""),0.0)</f>
        <v>0</v>
      </c>
      <c r="D205" s="81">
        <f>IFERROR(__xludf.DUMMYFUNCTION("""COMPUTED_VALUE"""),3.0)</f>
        <v>3</v>
      </c>
      <c r="E205" s="81">
        <f>IFERROR(__xludf.DUMMYFUNCTION("""COMPUTED_VALUE"""),3.0)</f>
        <v>3</v>
      </c>
    </row>
    <row r="206">
      <c r="A206" s="81" t="str">
        <f>IFERROR(__xludf.DUMMYFUNCTION("""COMPUTED_VALUE"""),"Eskil K")</f>
        <v>Eskil K</v>
      </c>
      <c r="B206" s="81">
        <f>IFERROR(__xludf.DUMMYFUNCTION("""COMPUTED_VALUE"""),2.0)</f>
        <v>2</v>
      </c>
      <c r="C206" s="81">
        <f>IFERROR(__xludf.DUMMYFUNCTION("""COMPUTED_VALUE"""),1.0)</f>
        <v>1</v>
      </c>
      <c r="D206" s="81">
        <f>IFERROR(__xludf.DUMMYFUNCTION("""COMPUTED_VALUE"""),5.0)</f>
        <v>5</v>
      </c>
      <c r="E206" s="81">
        <f>IFERROR(__xludf.DUMMYFUNCTION("""COMPUTED_VALUE"""),1.0)</f>
        <v>1</v>
      </c>
    </row>
    <row r="207">
      <c r="A207" s="81" t="str">
        <f>IFERROR(__xludf.DUMMYFUNCTION("""COMPUTED_VALUE"""),"Jakob S")</f>
        <v>Jakob S</v>
      </c>
      <c r="B207" s="81">
        <f>IFERROR(__xludf.DUMMYFUNCTION("""COMPUTED_VALUE"""),1.0)</f>
        <v>1</v>
      </c>
      <c r="C207" s="81">
        <f>IFERROR(__xludf.DUMMYFUNCTION("""COMPUTED_VALUE"""),4.0)</f>
        <v>4</v>
      </c>
      <c r="D207" s="81">
        <f>IFERROR(__xludf.DUMMYFUNCTION("""COMPUTED_VALUE"""),5.0)</f>
        <v>5</v>
      </c>
      <c r="E207" s="81">
        <f>IFERROR(__xludf.DUMMYFUNCTION("""COMPUTED_VALUE"""),1.0)</f>
        <v>1</v>
      </c>
    </row>
    <row r="208">
      <c r="A208" s="81" t="str">
        <f>IFERROR(__xludf.DUMMYFUNCTION("""COMPUTED_VALUE"""),"Dennis F")</f>
        <v>Dennis F</v>
      </c>
      <c r="B208" s="81">
        <f>IFERROR(__xludf.DUMMYFUNCTION("""COMPUTED_VALUE"""),3.0)</f>
        <v>3</v>
      </c>
      <c r="C208" s="81">
        <f>IFERROR(__xludf.DUMMYFUNCTION("""COMPUTED_VALUE"""),0.0)</f>
        <v>0</v>
      </c>
      <c r="D208" s="81">
        <f>IFERROR(__xludf.DUMMYFUNCTION("""COMPUTED_VALUE"""),5.0)</f>
        <v>5</v>
      </c>
      <c r="E208" s="81">
        <f>IFERROR(__xludf.DUMMYFUNCTION("""COMPUTED_VALUE"""),1.0)</f>
        <v>1</v>
      </c>
    </row>
    <row r="209">
      <c r="A209" s="81" t="str">
        <f>IFERROR(__xludf.DUMMYFUNCTION("""COMPUTED_VALUE"""),"Georgios T")</f>
        <v>Georgios T</v>
      </c>
      <c r="B209" s="81">
        <f>IFERROR(__xludf.DUMMYFUNCTION("""COMPUTED_VALUE"""),1.0)</f>
        <v>1</v>
      </c>
      <c r="C209" s="81">
        <f>IFERROR(__xludf.DUMMYFUNCTION("""COMPUTED_VALUE"""),1.0)</f>
        <v>1</v>
      </c>
      <c r="D209" s="81">
        <f>IFERROR(__xludf.DUMMYFUNCTION("""COMPUTED_VALUE"""),5.0)</f>
        <v>5</v>
      </c>
      <c r="E209" s="81">
        <f>IFERROR(__xludf.DUMMYFUNCTION("""COMPUTED_VALUE"""),1.0)</f>
        <v>1</v>
      </c>
    </row>
    <row r="210">
      <c r="A210" s="81" t="str">
        <f>IFERROR(__xludf.DUMMYFUNCTION("""COMPUTED_VALUE"""),"Casper W")</f>
        <v>Casper W</v>
      </c>
      <c r="B210" s="81">
        <f>IFERROR(__xludf.DUMMYFUNCTION("""COMPUTED_VALUE"""),1.0)</f>
        <v>1</v>
      </c>
      <c r="C210" s="81">
        <f>IFERROR(__xludf.DUMMYFUNCTION("""COMPUTED_VALUE"""),0.0)</f>
        <v>0</v>
      </c>
      <c r="D210" s="81">
        <f>IFERROR(__xludf.DUMMYFUNCTION("""COMPUTED_VALUE"""),5.0)</f>
        <v>5</v>
      </c>
      <c r="E210" s="81">
        <f>IFERROR(__xludf.DUMMYFUNCTION("""COMPUTED_VALUE"""),1.0)</f>
        <v>1</v>
      </c>
    </row>
    <row r="211">
      <c r="A211" s="81" t="str">
        <f>IFERROR(__xludf.DUMMYFUNCTION("""COMPUTED_VALUE"""),"Eskil K")</f>
        <v>Eskil K</v>
      </c>
      <c r="B211" s="81">
        <f>IFERROR(__xludf.DUMMYFUNCTION("""COMPUTED_VALUE"""),2.0)</f>
        <v>2</v>
      </c>
      <c r="C211" s="81">
        <f>IFERROR(__xludf.DUMMYFUNCTION("""COMPUTED_VALUE"""),0.0)</f>
        <v>0</v>
      </c>
      <c r="D211" s="81">
        <f>IFERROR(__xludf.DUMMYFUNCTION("""COMPUTED_VALUE"""),3.0)</f>
        <v>3</v>
      </c>
      <c r="E211" s="81">
        <f>IFERROR(__xludf.DUMMYFUNCTION("""COMPUTED_VALUE"""),2.0)</f>
        <v>2</v>
      </c>
    </row>
    <row r="212">
      <c r="A212" s="81" t="str">
        <f>IFERROR(__xludf.DUMMYFUNCTION("""COMPUTED_VALUE"""),"Isak L")</f>
        <v>Isak L</v>
      </c>
      <c r="B212" s="81">
        <f>IFERROR(__xludf.DUMMYFUNCTION("""COMPUTED_VALUE"""),0.0)</f>
        <v>0</v>
      </c>
      <c r="C212" s="81">
        <f>IFERROR(__xludf.DUMMYFUNCTION("""COMPUTED_VALUE"""),1.0)</f>
        <v>1</v>
      </c>
      <c r="D212" s="81">
        <f>IFERROR(__xludf.DUMMYFUNCTION("""COMPUTED_VALUE"""),3.0)</f>
        <v>3</v>
      </c>
      <c r="E212" s="81">
        <f>IFERROR(__xludf.DUMMYFUNCTION("""COMPUTED_VALUE"""),2.0)</f>
        <v>2</v>
      </c>
    </row>
    <row r="213">
      <c r="A213" s="81" t="str">
        <f>IFERROR(__xludf.DUMMYFUNCTION("""COMPUTED_VALUE"""),"Jakob S")</f>
        <v>Jakob S</v>
      </c>
      <c r="B213" s="81">
        <f>IFERROR(__xludf.DUMMYFUNCTION("""COMPUTED_VALUE"""),0.0)</f>
        <v>0</v>
      </c>
      <c r="C213" s="81">
        <f>IFERROR(__xludf.DUMMYFUNCTION("""COMPUTED_VALUE"""),1.0)</f>
        <v>1</v>
      </c>
      <c r="D213" s="81">
        <f>IFERROR(__xludf.DUMMYFUNCTION("""COMPUTED_VALUE"""),3.0)</f>
        <v>3</v>
      </c>
      <c r="E213" s="81">
        <f>IFERROR(__xludf.DUMMYFUNCTION("""COMPUTED_VALUE"""),2.0)</f>
        <v>2</v>
      </c>
    </row>
    <row r="214">
      <c r="A214" s="81" t="str">
        <f>IFERROR(__xludf.DUMMYFUNCTION("""COMPUTED_VALUE"""),"Samuel P")</f>
        <v>Samuel P</v>
      </c>
      <c r="B214" s="81">
        <f>IFERROR(__xludf.DUMMYFUNCTION("""COMPUTED_VALUE"""),3.0)</f>
        <v>3</v>
      </c>
      <c r="C214" s="81">
        <f>IFERROR(__xludf.DUMMYFUNCTION("""COMPUTED_VALUE"""),2.0)</f>
        <v>2</v>
      </c>
      <c r="D214" s="81">
        <f>IFERROR(__xludf.DUMMYFUNCTION("""COMPUTED_VALUE"""),3.0)</f>
        <v>3</v>
      </c>
      <c r="E214" s="81">
        <f>IFERROR(__xludf.DUMMYFUNCTION("""COMPUTED_VALUE"""),2.0)</f>
        <v>2</v>
      </c>
    </row>
    <row r="215">
      <c r="A215" s="81" t="str">
        <f>IFERROR(__xludf.DUMMYFUNCTION("""COMPUTED_VALUE"""),"Henrik O")</f>
        <v>Henrik O</v>
      </c>
      <c r="B215" s="81">
        <f>IFERROR(__xludf.DUMMYFUNCTION("""COMPUTED_VALUE"""),2.0)</f>
        <v>2</v>
      </c>
      <c r="C215" s="81">
        <f>IFERROR(__xludf.DUMMYFUNCTION("""COMPUTED_VALUE"""),1.0)</f>
        <v>1</v>
      </c>
      <c r="D215" s="81">
        <f>IFERROR(__xludf.DUMMYFUNCTION("""COMPUTED_VALUE"""),5.0)</f>
        <v>5</v>
      </c>
      <c r="E215" s="81">
        <f>IFERROR(__xludf.DUMMYFUNCTION("""COMPUTED_VALUE"""),3.0)</f>
        <v>3</v>
      </c>
    </row>
    <row r="216">
      <c r="A216" s="81" t="str">
        <f>IFERROR(__xludf.DUMMYFUNCTION("""COMPUTED_VALUE"""),"Joel A")</f>
        <v>Joel A</v>
      </c>
      <c r="B216" s="81">
        <f>IFERROR(__xludf.DUMMYFUNCTION("""COMPUTED_VALUE"""),2.0)</f>
        <v>2</v>
      </c>
      <c r="C216" s="81">
        <f>IFERROR(__xludf.DUMMYFUNCTION("""COMPUTED_VALUE"""),2.0)</f>
        <v>2</v>
      </c>
      <c r="D216" s="81">
        <f>IFERROR(__xludf.DUMMYFUNCTION("""COMPUTED_VALUE"""),5.0)</f>
        <v>5</v>
      </c>
      <c r="E216" s="81">
        <f>IFERROR(__xludf.DUMMYFUNCTION("""COMPUTED_VALUE"""),3.0)</f>
        <v>3</v>
      </c>
    </row>
    <row r="217">
      <c r="A217" s="81" t="str">
        <f>IFERROR(__xludf.DUMMYFUNCTION("""COMPUTED_VALUE"""),"Isak L")</f>
        <v>Isak L</v>
      </c>
      <c r="B217" s="81">
        <f>IFERROR(__xludf.DUMMYFUNCTION("""COMPUTED_VALUE"""),3.0)</f>
        <v>3</v>
      </c>
      <c r="C217" s="81">
        <f>IFERROR(__xludf.DUMMYFUNCTION("""COMPUTED_VALUE"""),2.0)</f>
        <v>2</v>
      </c>
      <c r="D217" s="81">
        <f>IFERROR(__xludf.DUMMYFUNCTION("""COMPUTED_VALUE"""),5.0)</f>
        <v>5</v>
      </c>
      <c r="E217" s="81">
        <f>IFERROR(__xludf.DUMMYFUNCTION("""COMPUTED_VALUE"""),3.0)</f>
        <v>3</v>
      </c>
    </row>
    <row r="218">
      <c r="A218" s="81" t="str">
        <f>IFERROR(__xludf.DUMMYFUNCTION("""COMPUTED_VALUE"""),"Oskar R")</f>
        <v>Oskar R</v>
      </c>
      <c r="B218" s="81">
        <f>IFERROR(__xludf.DUMMYFUNCTION("""COMPUTED_VALUE"""),2.0)</f>
        <v>2</v>
      </c>
      <c r="C218" s="81">
        <f>IFERROR(__xludf.DUMMYFUNCTION("""COMPUTED_VALUE"""),4.0)</f>
        <v>4</v>
      </c>
      <c r="D218" s="81">
        <f>IFERROR(__xludf.DUMMYFUNCTION("""COMPUTED_VALUE"""),5.0)</f>
        <v>5</v>
      </c>
      <c r="E218" s="81">
        <f>IFERROR(__xludf.DUMMYFUNCTION("""COMPUTED_VALUE"""),3.0)</f>
        <v>3</v>
      </c>
    </row>
    <row r="219">
      <c r="A219" s="81" t="str">
        <f>IFERROR(__xludf.DUMMYFUNCTION("""COMPUTED_VALUE"""),"Aria A")</f>
        <v>Aria A</v>
      </c>
      <c r="B219" s="81">
        <f>IFERROR(__xludf.DUMMYFUNCTION("""COMPUTED_VALUE"""),0.0)</f>
        <v>0</v>
      </c>
      <c r="C219" s="81">
        <f>IFERROR(__xludf.DUMMYFUNCTION("""COMPUTED_VALUE"""),1.0)</f>
        <v>1</v>
      </c>
      <c r="D219" s="81">
        <f>IFERROR(__xludf.DUMMYFUNCTION("""COMPUTED_VALUE"""),7.0)</f>
        <v>7</v>
      </c>
      <c r="E219" s="81">
        <f>IFERROR(__xludf.DUMMYFUNCTION("""COMPUTED_VALUE"""),1.0)</f>
        <v>1</v>
      </c>
    </row>
    <row r="220">
      <c r="A220" s="81" t="str">
        <f>IFERROR(__xludf.DUMMYFUNCTION("""COMPUTED_VALUE"""),"Henrik O")</f>
        <v>Henrik O</v>
      </c>
      <c r="B220" s="81">
        <f>IFERROR(__xludf.DUMMYFUNCTION("""COMPUTED_VALUE"""),1.0)</f>
        <v>1</v>
      </c>
      <c r="C220" s="81">
        <f>IFERROR(__xludf.DUMMYFUNCTION("""COMPUTED_VALUE"""),3.0)</f>
        <v>3</v>
      </c>
      <c r="D220" s="81">
        <f>IFERROR(__xludf.DUMMYFUNCTION("""COMPUTED_VALUE"""),7.0)</f>
        <v>7</v>
      </c>
      <c r="E220" s="81">
        <f>IFERROR(__xludf.DUMMYFUNCTION("""COMPUTED_VALUE"""),1.0)</f>
        <v>1</v>
      </c>
    </row>
    <row r="221">
      <c r="A221" s="81" t="str">
        <f>IFERROR(__xludf.DUMMYFUNCTION("""COMPUTED_VALUE"""),"Lucas S")</f>
        <v>Lucas S</v>
      </c>
      <c r="B221" s="81">
        <f>IFERROR(__xludf.DUMMYFUNCTION("""COMPUTED_VALUE"""),5.0)</f>
        <v>5</v>
      </c>
      <c r="C221" s="81">
        <f>IFERROR(__xludf.DUMMYFUNCTION("""COMPUTED_VALUE"""),2.0)</f>
        <v>2</v>
      </c>
      <c r="D221" s="81">
        <f>IFERROR(__xludf.DUMMYFUNCTION("""COMPUTED_VALUE"""),7.0)</f>
        <v>7</v>
      </c>
      <c r="E221" s="81">
        <f>IFERROR(__xludf.DUMMYFUNCTION("""COMPUTED_VALUE"""),1.0)</f>
        <v>1</v>
      </c>
    </row>
    <row r="222">
      <c r="A222" s="81" t="str">
        <f>IFERROR(__xludf.DUMMYFUNCTION("""COMPUTED_VALUE"""),"Milos G")</f>
        <v>Milos G</v>
      </c>
      <c r="B222" s="81">
        <f>IFERROR(__xludf.DUMMYFUNCTION("""COMPUTED_VALUE"""),6.0)</f>
        <v>6</v>
      </c>
      <c r="C222" s="81">
        <f>IFERROR(__xludf.DUMMYFUNCTION("""COMPUTED_VALUE"""),6.0)</f>
        <v>6</v>
      </c>
      <c r="D222" s="81">
        <f>IFERROR(__xludf.DUMMYFUNCTION("""COMPUTED_VALUE"""),7.0)</f>
        <v>7</v>
      </c>
      <c r="E222" s="81">
        <f>IFERROR(__xludf.DUMMYFUNCTION("""COMPUTED_VALUE"""),1.0)</f>
        <v>1</v>
      </c>
    </row>
    <row r="223">
      <c r="A223" s="81" t="str">
        <f>IFERROR(__xludf.DUMMYFUNCTION("""COMPUTED_VALUE"""),"Samuel P")</f>
        <v>Samuel P</v>
      </c>
      <c r="B223" s="81">
        <f>IFERROR(__xludf.DUMMYFUNCTION("""COMPUTED_VALUE"""),0.0)</f>
        <v>0</v>
      </c>
      <c r="C223" s="81">
        <f>IFERROR(__xludf.DUMMYFUNCTION("""COMPUTED_VALUE"""),5.0)</f>
        <v>5</v>
      </c>
      <c r="D223" s="81">
        <f>IFERROR(__xludf.DUMMYFUNCTION("""COMPUTED_VALUE"""),7.0)</f>
        <v>7</v>
      </c>
      <c r="E223" s="81">
        <f>IFERROR(__xludf.DUMMYFUNCTION("""COMPUTED_VALUE"""),1.0)</f>
        <v>1</v>
      </c>
    </row>
    <row r="224">
      <c r="A224" s="81" t="str">
        <f>IFERROR(__xludf.DUMMYFUNCTION("""COMPUTED_VALUE"""),"Jakob S")</f>
        <v>Jakob S</v>
      </c>
      <c r="B224" s="81">
        <f>IFERROR(__xludf.DUMMYFUNCTION("""COMPUTED_VALUE"""),6.0)</f>
        <v>6</v>
      </c>
      <c r="C224" s="81">
        <f>IFERROR(__xludf.DUMMYFUNCTION("""COMPUTED_VALUE"""),3.0)</f>
        <v>3</v>
      </c>
      <c r="D224" s="81">
        <f>IFERROR(__xludf.DUMMYFUNCTION("""COMPUTED_VALUE"""),7.0)</f>
        <v>7</v>
      </c>
      <c r="E224" s="81">
        <f>IFERROR(__xludf.DUMMYFUNCTION("""COMPUTED_VALUE"""),1.0)</f>
        <v>1</v>
      </c>
    </row>
    <row r="225">
      <c r="A225" s="81" t="str">
        <f>IFERROR(__xludf.DUMMYFUNCTION("""COMPUTED_VALUE"""),"Daniel K")</f>
        <v>Daniel K</v>
      </c>
      <c r="B225" s="81">
        <f>IFERROR(__xludf.DUMMYFUNCTION("""COMPUTED_VALUE"""),8.0)</f>
        <v>8</v>
      </c>
      <c r="C225" s="81">
        <f>IFERROR(__xludf.DUMMYFUNCTION("""COMPUTED_VALUE"""),7.0)</f>
        <v>7</v>
      </c>
      <c r="D225" s="81">
        <f>IFERROR(__xludf.DUMMYFUNCTION("""COMPUTED_VALUE"""),6.0)</f>
        <v>6</v>
      </c>
      <c r="E225" s="81">
        <f>IFERROR(__xludf.DUMMYFUNCTION("""COMPUTED_VALUE"""),1.0)</f>
        <v>1</v>
      </c>
    </row>
    <row r="226">
      <c r="A226" s="81" t="str">
        <f>IFERROR(__xludf.DUMMYFUNCTION("""COMPUTED_VALUE"""),"Daniel Ö")</f>
        <v>Daniel Ö</v>
      </c>
      <c r="B226" s="81">
        <f>IFERROR(__xludf.DUMMYFUNCTION("""COMPUTED_VALUE"""),9.0)</f>
        <v>9</v>
      </c>
      <c r="C226" s="81">
        <f>IFERROR(__xludf.DUMMYFUNCTION("""COMPUTED_VALUE"""),3.0)</f>
        <v>3</v>
      </c>
      <c r="D226" s="81">
        <f>IFERROR(__xludf.DUMMYFUNCTION("""COMPUTED_VALUE"""),6.0)</f>
        <v>6</v>
      </c>
      <c r="E226" s="81">
        <f>IFERROR(__xludf.DUMMYFUNCTION("""COMPUTED_VALUE"""),1.0)</f>
        <v>1</v>
      </c>
    </row>
    <row r="227">
      <c r="A227" s="81" t="str">
        <f>IFERROR(__xludf.DUMMYFUNCTION("""COMPUTED_VALUE"""),"Joel C")</f>
        <v>Joel C</v>
      </c>
      <c r="B227" s="81">
        <f>IFERROR(__xludf.DUMMYFUNCTION("""COMPUTED_VALUE"""),1.0)</f>
        <v>1</v>
      </c>
      <c r="C227" s="81">
        <f>IFERROR(__xludf.DUMMYFUNCTION("""COMPUTED_VALUE"""),8.0)</f>
        <v>8</v>
      </c>
      <c r="D227" s="81">
        <f>IFERROR(__xludf.DUMMYFUNCTION("""COMPUTED_VALUE"""),6.0)</f>
        <v>6</v>
      </c>
      <c r="E227" s="81">
        <f>IFERROR(__xludf.DUMMYFUNCTION("""COMPUTED_VALUE"""),1.0)</f>
        <v>1</v>
      </c>
    </row>
    <row r="228">
      <c r="A228" s="81" t="str">
        <f>IFERROR(__xludf.DUMMYFUNCTION("""COMPUTED_VALUE"""),"Shahir I")</f>
        <v>Shahir I</v>
      </c>
      <c r="B228" s="81">
        <f>IFERROR(__xludf.DUMMYFUNCTION("""COMPUTED_VALUE"""),5.0)</f>
        <v>5</v>
      </c>
      <c r="C228" s="81">
        <f>IFERROR(__xludf.DUMMYFUNCTION("""COMPUTED_VALUE"""),3.0)</f>
        <v>3</v>
      </c>
      <c r="D228" s="81">
        <f>IFERROR(__xludf.DUMMYFUNCTION("""COMPUTED_VALUE"""),6.0)</f>
        <v>6</v>
      </c>
      <c r="E228" s="81">
        <f>IFERROR(__xludf.DUMMYFUNCTION("""COMPUTED_VALUE"""),1.0)</f>
        <v>1</v>
      </c>
    </row>
    <row r="229">
      <c r="A229" s="81" t="str">
        <f>IFERROR(__xludf.DUMMYFUNCTION("""COMPUTED_VALUE"""),"Isak L")</f>
        <v>Isak L</v>
      </c>
      <c r="B229" s="81">
        <f>IFERROR(__xludf.DUMMYFUNCTION("""COMPUTED_VALUE"""),8.0)</f>
        <v>8</v>
      </c>
      <c r="C229" s="81">
        <f>IFERROR(__xludf.DUMMYFUNCTION("""COMPUTED_VALUE"""),5.0)</f>
        <v>5</v>
      </c>
      <c r="D229" s="81">
        <f>IFERROR(__xludf.DUMMYFUNCTION("""COMPUTED_VALUE"""),4.0)</f>
        <v>4</v>
      </c>
      <c r="E229" s="81">
        <f>IFERROR(__xludf.DUMMYFUNCTION("""COMPUTED_VALUE"""),2.0)</f>
        <v>2</v>
      </c>
    </row>
    <row r="230">
      <c r="A230" s="81" t="str">
        <f>IFERROR(__xludf.DUMMYFUNCTION("""COMPUTED_VALUE"""),"Oliver G")</f>
        <v>Oliver G</v>
      </c>
      <c r="B230" s="81">
        <f>IFERROR(__xludf.DUMMYFUNCTION("""COMPUTED_VALUE"""),3.0)</f>
        <v>3</v>
      </c>
      <c r="C230" s="81">
        <f>IFERROR(__xludf.DUMMYFUNCTION("""COMPUTED_VALUE"""),2.0)</f>
        <v>2</v>
      </c>
      <c r="D230" s="81">
        <f>IFERROR(__xludf.DUMMYFUNCTION("""COMPUTED_VALUE"""),4.0)</f>
        <v>4</v>
      </c>
      <c r="E230" s="81">
        <f>IFERROR(__xludf.DUMMYFUNCTION("""COMPUTED_VALUE"""),2.0)</f>
        <v>2</v>
      </c>
    </row>
    <row r="231">
      <c r="A231" s="81" t="str">
        <f>IFERROR(__xludf.DUMMYFUNCTION("""COMPUTED_VALUE"""),"Oskar R")</f>
        <v>Oskar R</v>
      </c>
      <c r="B231" s="81">
        <f>IFERROR(__xludf.DUMMYFUNCTION("""COMPUTED_VALUE"""),1.0)</f>
        <v>1</v>
      </c>
      <c r="C231" s="81">
        <f>IFERROR(__xludf.DUMMYFUNCTION("""COMPUTED_VALUE"""),1.0)</f>
        <v>1</v>
      </c>
      <c r="D231" s="81">
        <f>IFERROR(__xludf.DUMMYFUNCTION("""COMPUTED_VALUE"""),4.0)</f>
        <v>4</v>
      </c>
      <c r="E231" s="81">
        <f>IFERROR(__xludf.DUMMYFUNCTION("""COMPUTED_VALUE"""),2.0)</f>
        <v>2</v>
      </c>
    </row>
    <row r="232">
      <c r="A232" s="81" t="str">
        <f>IFERROR(__xludf.DUMMYFUNCTION("""COMPUTED_VALUE"""),"Gustav X")</f>
        <v>Gustav X</v>
      </c>
      <c r="B232" s="81">
        <f>IFERROR(__xludf.DUMMYFUNCTION("""COMPUTED_VALUE"""),5.0)</f>
        <v>5</v>
      </c>
      <c r="C232" s="81">
        <f>IFERROR(__xludf.DUMMYFUNCTION("""COMPUTED_VALUE"""),0.0)</f>
        <v>0</v>
      </c>
      <c r="D232" s="81">
        <f>IFERROR(__xludf.DUMMYFUNCTION("""COMPUTED_VALUE"""),4.0)</f>
        <v>4</v>
      </c>
      <c r="E232" s="81">
        <f>IFERROR(__xludf.DUMMYFUNCTION("""COMPUTED_VALUE"""),2.0)</f>
        <v>2</v>
      </c>
    </row>
    <row r="233">
      <c r="A233" s="81" t="str">
        <f>IFERROR(__xludf.DUMMYFUNCTION("""COMPUTED_VALUE"""),"Daniel K")</f>
        <v>Daniel K</v>
      </c>
      <c r="B233" s="81">
        <f>IFERROR(__xludf.DUMMYFUNCTION("""COMPUTED_VALUE"""),0.0)</f>
        <v>0</v>
      </c>
      <c r="C233" s="81">
        <f>IFERROR(__xludf.DUMMYFUNCTION("""COMPUTED_VALUE"""),3.0)</f>
        <v>3</v>
      </c>
      <c r="D233" s="81">
        <f>IFERROR(__xludf.DUMMYFUNCTION("""COMPUTED_VALUE"""),0.0)</f>
        <v>0</v>
      </c>
      <c r="E233" s="81">
        <f>IFERROR(__xludf.DUMMYFUNCTION("""COMPUTED_VALUE"""),0.0)</f>
        <v>0</v>
      </c>
    </row>
    <row r="234">
      <c r="A234" s="81" t="str">
        <f>IFERROR(__xludf.DUMMYFUNCTION("""COMPUTED_VALUE"""),"Daniel K")</f>
        <v>Daniel K</v>
      </c>
      <c r="B234" s="81">
        <f>IFERROR(__xludf.DUMMYFUNCTION("""COMPUTED_VALUE"""),0.0)</f>
        <v>0</v>
      </c>
      <c r="C234" s="81">
        <f>IFERROR(__xludf.DUMMYFUNCTION("""COMPUTED_VALUE"""),3.0)</f>
        <v>3</v>
      </c>
      <c r="D234" s="81">
        <f>IFERROR(__xludf.DUMMYFUNCTION("""COMPUTED_VALUE"""),0.0)</f>
        <v>0</v>
      </c>
      <c r="E234" s="81">
        <f>IFERROR(__xludf.DUMMYFUNCTION("""COMPUTED_VALUE"""),0.0)</f>
        <v>0</v>
      </c>
    </row>
    <row r="235">
      <c r="A235" s="81" t="str">
        <f>IFERROR(__xludf.DUMMYFUNCTION("""COMPUTED_VALUE"""),"Pontus S")</f>
        <v>Pontus S</v>
      </c>
      <c r="B235" s="81">
        <f>IFERROR(__xludf.DUMMYFUNCTION("""COMPUTED_VALUE"""),0.0)</f>
        <v>0</v>
      </c>
      <c r="C235" s="81">
        <f>IFERROR(__xludf.DUMMYFUNCTION("""COMPUTED_VALUE"""),3.0)</f>
        <v>3</v>
      </c>
      <c r="D235" s="81">
        <f>IFERROR(__xludf.DUMMYFUNCTION("""COMPUTED_VALUE"""),0.0)</f>
        <v>0</v>
      </c>
      <c r="E235" s="81">
        <f>IFERROR(__xludf.DUMMYFUNCTION("""COMPUTED_VALUE"""),0.0)</f>
        <v>0</v>
      </c>
    </row>
    <row r="236">
      <c r="A236" s="81" t="str">
        <f>IFERROR(__xludf.DUMMYFUNCTION("""COMPUTED_VALUE"""),"Pontus S")</f>
        <v>Pontus S</v>
      </c>
      <c r="B236" s="81">
        <f>IFERROR(__xludf.DUMMYFUNCTION("""COMPUTED_VALUE"""),0.0)</f>
        <v>0</v>
      </c>
      <c r="C236" s="81">
        <f>IFERROR(__xludf.DUMMYFUNCTION("""COMPUTED_VALUE"""),3.0)</f>
        <v>3</v>
      </c>
      <c r="D236" s="81">
        <f>IFERROR(__xludf.DUMMYFUNCTION("""COMPUTED_VALUE"""),0.0)</f>
        <v>0</v>
      </c>
      <c r="E236" s="81">
        <f>IFERROR(__xludf.DUMMYFUNCTION("""COMPUTED_VALUE"""),0.0)</f>
        <v>0</v>
      </c>
    </row>
    <row r="237">
      <c r="A237" s="81" t="str">
        <f>IFERROR(__xludf.DUMMYFUNCTION("""COMPUTED_VALUE"""),"Pontus S")</f>
        <v>Pontus S</v>
      </c>
      <c r="B237" s="81">
        <f>IFERROR(__xludf.DUMMYFUNCTION("""COMPUTED_VALUE"""),0.0)</f>
        <v>0</v>
      </c>
      <c r="C237" s="81">
        <f>IFERROR(__xludf.DUMMYFUNCTION("""COMPUTED_VALUE"""),3.0)</f>
        <v>3</v>
      </c>
      <c r="D237" s="81">
        <f>IFERROR(__xludf.DUMMYFUNCTION("""COMPUTED_VALUE"""),0.0)</f>
        <v>0</v>
      </c>
      <c r="E237" s="81">
        <f>IFERROR(__xludf.DUMMYFUNCTION("""COMPUTED_VALUE"""),0.0)</f>
        <v>0</v>
      </c>
    </row>
    <row r="238">
      <c r="A238" s="81" t="str">
        <f>IFERROR(__xludf.DUMMYFUNCTION("""COMPUTED_VALUE"""),"Pontus S")</f>
        <v>Pontus S</v>
      </c>
      <c r="B238" s="81">
        <f>IFERROR(__xludf.DUMMYFUNCTION("""COMPUTED_VALUE"""),0.0)</f>
        <v>0</v>
      </c>
      <c r="C238" s="81">
        <f>IFERROR(__xludf.DUMMYFUNCTION("""COMPUTED_VALUE"""),3.0)</f>
        <v>3</v>
      </c>
      <c r="D238" s="81">
        <f>IFERROR(__xludf.DUMMYFUNCTION("""COMPUTED_VALUE"""),0.0)</f>
        <v>0</v>
      </c>
      <c r="E238" s="81">
        <f>IFERROR(__xludf.DUMMYFUNCTION("""COMPUTED_VALUE"""),0.0)</f>
        <v>0</v>
      </c>
    </row>
    <row r="239">
      <c r="A239" s="81" t="str">
        <f>IFERROR(__xludf.DUMMYFUNCTION("""COMPUTED_VALUE"""),"Jesper N")</f>
        <v>Jesper N</v>
      </c>
      <c r="B239" s="81">
        <f>IFERROR(__xludf.DUMMYFUNCTION("""COMPUTED_VALUE"""),0.0)</f>
        <v>0</v>
      </c>
      <c r="C239" s="81">
        <f>IFERROR(__xludf.DUMMYFUNCTION("""COMPUTED_VALUE"""),3.0)</f>
        <v>3</v>
      </c>
      <c r="D239" s="81">
        <f>IFERROR(__xludf.DUMMYFUNCTION("""COMPUTED_VALUE"""),0.0)</f>
        <v>0</v>
      </c>
      <c r="E239" s="81">
        <f>IFERROR(__xludf.DUMMYFUNCTION("""COMPUTED_VALUE"""),0.0)</f>
        <v>0</v>
      </c>
    </row>
    <row r="240">
      <c r="A240" s="81" t="str">
        <f>IFERROR(__xludf.DUMMYFUNCTION("""COMPUTED_VALUE"""),"Pontus S")</f>
        <v>Pontus S</v>
      </c>
      <c r="B240" s="81">
        <f>IFERROR(__xludf.DUMMYFUNCTION("""COMPUTED_VALUE"""),0.0)</f>
        <v>0</v>
      </c>
      <c r="C240" s="81">
        <f>IFERROR(__xludf.DUMMYFUNCTION("""COMPUTED_VALUE"""),3.0)</f>
        <v>3</v>
      </c>
      <c r="D240" s="81">
        <f>IFERROR(__xludf.DUMMYFUNCTION("""COMPUTED_VALUE"""),0.0)</f>
        <v>0</v>
      </c>
      <c r="E240" s="81">
        <f>IFERROR(__xludf.DUMMYFUNCTION("""COMPUTED_VALUE"""),0.0)</f>
        <v>0</v>
      </c>
    </row>
    <row r="241">
      <c r="A241" s="81" t="str">
        <f>IFERROR(__xludf.DUMMYFUNCTION("""COMPUTED_VALUE"""),"Aria A")</f>
        <v>Aria A</v>
      </c>
      <c r="B241" s="81">
        <f>IFERROR(__xludf.DUMMYFUNCTION("""COMPUTED_VALUE"""),0.0)</f>
        <v>0</v>
      </c>
      <c r="C241" s="81">
        <f>IFERROR(__xludf.DUMMYFUNCTION("""COMPUTED_VALUE"""),3.0)</f>
        <v>3</v>
      </c>
      <c r="D241" s="81">
        <f>IFERROR(__xludf.DUMMYFUNCTION("""COMPUTED_VALUE"""),0.0)</f>
        <v>0</v>
      </c>
      <c r="E241" s="81">
        <f>IFERROR(__xludf.DUMMYFUNCTION("""COMPUTED_VALUE"""),0.0)</f>
        <v>0</v>
      </c>
    </row>
    <row r="242">
      <c r="A242" s="81" t="str">
        <f>IFERROR(__xludf.DUMMYFUNCTION("""COMPUTED_VALUE"""),"Aria A")</f>
        <v>Aria A</v>
      </c>
      <c r="B242" s="81">
        <f>IFERROR(__xludf.DUMMYFUNCTION("""COMPUTED_VALUE"""),0.0)</f>
        <v>0</v>
      </c>
      <c r="C242" s="81">
        <f>IFERROR(__xludf.DUMMYFUNCTION("""COMPUTED_VALUE"""),3.0)</f>
        <v>3</v>
      </c>
      <c r="D242" s="81">
        <f>IFERROR(__xludf.DUMMYFUNCTION("""COMPUTED_VALUE"""),0.0)</f>
        <v>0</v>
      </c>
      <c r="E242" s="81">
        <f>IFERROR(__xludf.DUMMYFUNCTION("""COMPUTED_VALUE"""),0.0)</f>
        <v>0</v>
      </c>
    </row>
    <row r="243">
      <c r="A243" s="81" t="str">
        <f>IFERROR(__xludf.DUMMYFUNCTION("""COMPUTED_VALUE"""),"Pontus S")</f>
        <v>Pontus S</v>
      </c>
      <c r="B243" s="81">
        <f>IFERROR(__xludf.DUMMYFUNCTION("""COMPUTED_VALUE"""),0.0)</f>
        <v>0</v>
      </c>
      <c r="C243" s="81">
        <f>IFERROR(__xludf.DUMMYFUNCTION("""COMPUTED_VALUE"""),3.0)</f>
        <v>3</v>
      </c>
      <c r="D243" s="81">
        <f>IFERROR(__xludf.DUMMYFUNCTION("""COMPUTED_VALUE"""),0.0)</f>
        <v>0</v>
      </c>
      <c r="E243" s="81">
        <f>IFERROR(__xludf.DUMMYFUNCTION("""COMPUTED_VALUE"""),0.0)</f>
        <v>0</v>
      </c>
    </row>
    <row r="244">
      <c r="A244" s="81" t="str">
        <f>IFERROR(__xludf.DUMMYFUNCTION("""COMPUTED_VALUE"""),"Jesper N")</f>
        <v>Jesper N</v>
      </c>
      <c r="B244" s="81">
        <f>IFERROR(__xludf.DUMMYFUNCTION("""COMPUTED_VALUE"""),0.0)</f>
        <v>0</v>
      </c>
      <c r="C244" s="81">
        <f>IFERROR(__xludf.DUMMYFUNCTION("""COMPUTED_VALUE"""),3.0)</f>
        <v>3</v>
      </c>
      <c r="D244" s="81">
        <f>IFERROR(__xludf.DUMMYFUNCTION("""COMPUTED_VALUE"""),0.0)</f>
        <v>0</v>
      </c>
      <c r="E244" s="81">
        <f>IFERROR(__xludf.DUMMYFUNCTION("""COMPUTED_VALUE"""),0.0)</f>
        <v>0</v>
      </c>
    </row>
    <row r="245">
      <c r="A245" s="81" t="str">
        <f>IFERROR(__xludf.DUMMYFUNCTION("""COMPUTED_VALUE"""),"Pontus S")</f>
        <v>Pontus S</v>
      </c>
      <c r="B245" s="81">
        <f>IFERROR(__xludf.DUMMYFUNCTION("""COMPUTED_VALUE"""),0.0)</f>
        <v>0</v>
      </c>
      <c r="C245" s="81">
        <f>IFERROR(__xludf.DUMMYFUNCTION("""COMPUTED_VALUE"""),3.0)</f>
        <v>3</v>
      </c>
      <c r="D245" s="81">
        <f>IFERROR(__xludf.DUMMYFUNCTION("""COMPUTED_VALUE"""),0.0)</f>
        <v>0</v>
      </c>
      <c r="E245" s="81">
        <f>IFERROR(__xludf.DUMMYFUNCTION("""COMPUTED_VALUE"""),0.0)</f>
        <v>0</v>
      </c>
    </row>
    <row r="246">
      <c r="A246" s="81" t="str">
        <f>IFERROR(__xludf.DUMMYFUNCTION("""COMPUTED_VALUE"""),"Branislav D")</f>
        <v>Branislav D</v>
      </c>
      <c r="B246" s="81">
        <f>IFERROR(__xludf.DUMMYFUNCTION("""COMPUTED_VALUE"""),0.0)</f>
        <v>0</v>
      </c>
      <c r="C246" s="81">
        <f>IFERROR(__xludf.DUMMYFUNCTION("""COMPUTED_VALUE"""),1.0)</f>
        <v>1</v>
      </c>
      <c r="D246" s="81">
        <f>IFERROR(__xludf.DUMMYFUNCTION("""COMPUTED_VALUE"""),4.0)</f>
        <v>4</v>
      </c>
      <c r="E246" s="81">
        <f>IFERROR(__xludf.DUMMYFUNCTION("""COMPUTED_VALUE"""),5.0)</f>
        <v>5</v>
      </c>
    </row>
    <row r="247">
      <c r="A247" s="81" t="str">
        <f>IFERROR(__xludf.DUMMYFUNCTION("""COMPUTED_VALUE"""),"Emil B")</f>
        <v>Emil B</v>
      </c>
      <c r="B247" s="81">
        <f>IFERROR(__xludf.DUMMYFUNCTION("""COMPUTED_VALUE"""),0.0)</f>
        <v>0</v>
      </c>
      <c r="C247" s="81">
        <f>IFERROR(__xludf.DUMMYFUNCTION("""COMPUTED_VALUE"""),0.0)</f>
        <v>0</v>
      </c>
      <c r="D247" s="81">
        <f>IFERROR(__xludf.DUMMYFUNCTION("""COMPUTED_VALUE"""),5.0)</f>
        <v>5</v>
      </c>
      <c r="E247" s="81">
        <f>IFERROR(__xludf.DUMMYFUNCTION("""COMPUTED_VALUE"""),4.0)</f>
        <v>4</v>
      </c>
    </row>
    <row r="248">
      <c r="A248" s="81" t="str">
        <f>IFERROR(__xludf.DUMMYFUNCTION("""COMPUTED_VALUE"""),"Einar D")</f>
        <v>Einar D</v>
      </c>
      <c r="B248" s="81">
        <f>IFERROR(__xludf.DUMMYFUNCTION("""COMPUTED_VALUE"""),0.0)</f>
        <v>0</v>
      </c>
      <c r="C248" s="81">
        <f>IFERROR(__xludf.DUMMYFUNCTION("""COMPUTED_VALUE"""),0.0)</f>
        <v>0</v>
      </c>
      <c r="D248" s="81">
        <f>IFERROR(__xludf.DUMMYFUNCTION("""COMPUTED_VALUE"""),1.0)</f>
        <v>1</v>
      </c>
      <c r="E248" s="81">
        <f>IFERROR(__xludf.DUMMYFUNCTION("""COMPUTED_VALUE"""),5.0)</f>
        <v>5</v>
      </c>
    </row>
    <row r="249">
      <c r="A249" s="81" t="str">
        <f>IFERROR(__xludf.DUMMYFUNCTION("""COMPUTED_VALUE"""),"Emil B")</f>
        <v>Emil B</v>
      </c>
      <c r="B249" s="81">
        <f>IFERROR(__xludf.DUMMYFUNCTION("""COMPUTED_VALUE"""),1.0)</f>
        <v>1</v>
      </c>
      <c r="C249" s="81">
        <f>IFERROR(__xludf.DUMMYFUNCTION("""COMPUTED_VALUE"""),1.0)</f>
        <v>1</v>
      </c>
      <c r="D249" s="81">
        <f>IFERROR(__xludf.DUMMYFUNCTION("""COMPUTED_VALUE"""),5.0)</f>
        <v>5</v>
      </c>
      <c r="E249" s="81">
        <f>IFERROR(__xludf.DUMMYFUNCTION("""COMPUTED_VALUE"""),1.0)</f>
        <v>1</v>
      </c>
    </row>
    <row r="250">
      <c r="A250" s="81" t="str">
        <f>IFERROR(__xludf.DUMMYFUNCTION("""COMPUTED_VALUE"""),"Einar D")</f>
        <v>Einar D</v>
      </c>
      <c r="B250" s="81">
        <f>IFERROR(__xludf.DUMMYFUNCTION("""COMPUTED_VALUE"""),0.0)</f>
        <v>0</v>
      </c>
      <c r="C250" s="81">
        <f>IFERROR(__xludf.DUMMYFUNCTION("""COMPUTED_VALUE"""),0.0)</f>
        <v>0</v>
      </c>
      <c r="D250" s="81">
        <f>IFERROR(__xludf.DUMMYFUNCTION("""COMPUTED_VALUE"""),5.0)</f>
        <v>5</v>
      </c>
      <c r="E250" s="81">
        <f>IFERROR(__xludf.DUMMYFUNCTION("""COMPUTED_VALUE"""),4.0)</f>
        <v>4</v>
      </c>
    </row>
    <row r="251">
      <c r="A251" s="81" t="str">
        <f>IFERROR(__xludf.DUMMYFUNCTION("""COMPUTED_VALUE"""),"Emil B")</f>
        <v>Emil B</v>
      </c>
      <c r="B251" s="81">
        <f>IFERROR(__xludf.DUMMYFUNCTION("""COMPUTED_VALUE"""),0.0)</f>
        <v>0</v>
      </c>
      <c r="C251" s="81">
        <f>IFERROR(__xludf.DUMMYFUNCTION("""COMPUTED_VALUE"""),0.0)</f>
        <v>0</v>
      </c>
      <c r="D251" s="81">
        <f>IFERROR(__xludf.DUMMYFUNCTION("""COMPUTED_VALUE"""),4.0)</f>
        <v>4</v>
      </c>
      <c r="E251" s="81">
        <f>IFERROR(__xludf.DUMMYFUNCTION("""COMPUTED_VALUE"""),5.0)</f>
        <v>5</v>
      </c>
    </row>
    <row r="252">
      <c r="A252" s="81" t="str">
        <f>IFERROR(__xludf.DUMMYFUNCTION("""COMPUTED_VALUE"""),"Emil B")</f>
        <v>Emil B</v>
      </c>
      <c r="B252" s="81">
        <f>IFERROR(__xludf.DUMMYFUNCTION("""COMPUTED_VALUE"""),0.0)</f>
        <v>0</v>
      </c>
      <c r="C252" s="81">
        <f>IFERROR(__xludf.DUMMYFUNCTION("""COMPUTED_VALUE"""),0.0)</f>
        <v>0</v>
      </c>
      <c r="D252" s="81">
        <f>IFERROR(__xludf.DUMMYFUNCTION("""COMPUTED_VALUE"""),4.0)</f>
        <v>4</v>
      </c>
      <c r="E252" s="81">
        <f>IFERROR(__xludf.DUMMYFUNCTION("""COMPUTED_VALUE"""),4.0)</f>
        <v>4</v>
      </c>
    </row>
    <row r="253">
      <c r="A253" s="81" t="str">
        <f>IFERROR(__xludf.DUMMYFUNCTION("""COMPUTED_VALUE"""),"Emil B")</f>
        <v>Emil B</v>
      </c>
      <c r="B253" s="81">
        <f>IFERROR(__xludf.DUMMYFUNCTION("""COMPUTED_VALUE"""),0.0)</f>
        <v>0</v>
      </c>
      <c r="C253" s="81">
        <f>IFERROR(__xludf.DUMMYFUNCTION("""COMPUTED_VALUE"""),1.0)</f>
        <v>1</v>
      </c>
      <c r="D253" s="81">
        <f>IFERROR(__xludf.DUMMYFUNCTION("""COMPUTED_VALUE"""),3.0)</f>
        <v>3</v>
      </c>
      <c r="E253" s="81">
        <f>IFERROR(__xludf.DUMMYFUNCTION("""COMPUTED_VALUE"""),3.0)</f>
        <v>3</v>
      </c>
    </row>
    <row r="254">
      <c r="A254" s="81" t="str">
        <f>IFERROR(__xludf.DUMMYFUNCTION("""COMPUTED_VALUE"""),"Dennis F")</f>
        <v>Dennis F</v>
      </c>
      <c r="B254" s="81">
        <f>IFERROR(__xludf.DUMMYFUNCTION("""COMPUTED_VALUE"""),1.0)</f>
        <v>1</v>
      </c>
      <c r="C254" s="81">
        <f>IFERROR(__xludf.DUMMYFUNCTION("""COMPUTED_VALUE"""),0.0)</f>
        <v>0</v>
      </c>
      <c r="D254" s="81">
        <f>IFERROR(__xludf.DUMMYFUNCTION("""COMPUTED_VALUE"""),3.0)</f>
        <v>3</v>
      </c>
      <c r="E254" s="81">
        <f>IFERROR(__xludf.DUMMYFUNCTION("""COMPUTED_VALUE"""),3.0)</f>
        <v>3</v>
      </c>
    </row>
    <row r="255">
      <c r="A255" s="81" t="str">
        <f>IFERROR(__xludf.DUMMYFUNCTION("""COMPUTED_VALUE"""),"Emil B")</f>
        <v>Emil B</v>
      </c>
      <c r="B255" s="81">
        <f>IFERROR(__xludf.DUMMYFUNCTION("""COMPUTED_VALUE"""),0.0)</f>
        <v>0</v>
      </c>
      <c r="C255" s="81">
        <f>IFERROR(__xludf.DUMMYFUNCTION("""COMPUTED_VALUE"""),0.0)</f>
        <v>0</v>
      </c>
      <c r="D255" s="81">
        <f>IFERROR(__xludf.DUMMYFUNCTION("""COMPUTED_VALUE"""),5.0)</f>
        <v>5</v>
      </c>
      <c r="E255" s="81">
        <f>IFERROR(__xludf.DUMMYFUNCTION("""COMPUTED_VALUE"""),3.0)</f>
        <v>3</v>
      </c>
    </row>
    <row r="256">
      <c r="A256" s="81" t="str">
        <f>IFERROR(__xludf.DUMMYFUNCTION("""COMPUTED_VALUE"""),"Emil B")</f>
        <v>Emil B</v>
      </c>
      <c r="B256" s="81">
        <f>IFERROR(__xludf.DUMMYFUNCTION("""COMPUTED_VALUE"""),0.0)</f>
        <v>0</v>
      </c>
      <c r="C256" s="81">
        <f>IFERROR(__xludf.DUMMYFUNCTION("""COMPUTED_VALUE"""),0.0)</f>
        <v>0</v>
      </c>
      <c r="D256" s="81">
        <f>IFERROR(__xludf.DUMMYFUNCTION("""COMPUTED_VALUE"""),4.0)</f>
        <v>4</v>
      </c>
      <c r="E256" s="81">
        <f>IFERROR(__xludf.DUMMYFUNCTION("""COMPUTED_VALUE"""),3.0)</f>
        <v>3</v>
      </c>
    </row>
    <row r="257">
      <c r="A257" s="81" t="str">
        <f>IFERROR(__xludf.DUMMYFUNCTION("""COMPUTED_VALUE"""),"Ture H")</f>
        <v>Ture H</v>
      </c>
      <c r="B257" s="81">
        <f>IFERROR(__xludf.DUMMYFUNCTION("""COMPUTED_VALUE"""),1.0)</f>
        <v>1</v>
      </c>
      <c r="C257" s="81">
        <f>IFERROR(__xludf.DUMMYFUNCTION("""COMPUTED_VALUE"""),0.0)</f>
        <v>0</v>
      </c>
      <c r="D257" s="81">
        <f>IFERROR(__xludf.DUMMYFUNCTION("""COMPUTED_VALUE"""),3.0)</f>
        <v>3</v>
      </c>
      <c r="E257" s="81">
        <f>IFERROR(__xludf.DUMMYFUNCTION("""COMPUTED_VALUE"""),4.0)</f>
        <v>4</v>
      </c>
    </row>
    <row r="258">
      <c r="A258" s="81" t="str">
        <f>IFERROR(__xludf.DUMMYFUNCTION("""COMPUTED_VALUE"""),"Ture H")</f>
        <v>Ture H</v>
      </c>
      <c r="B258" s="81">
        <f>IFERROR(__xludf.DUMMYFUNCTION("""COMPUTED_VALUE"""),1.0)</f>
        <v>1</v>
      </c>
      <c r="C258" s="81">
        <f>IFERROR(__xludf.DUMMYFUNCTION("""COMPUTED_VALUE"""),0.0)</f>
        <v>0</v>
      </c>
      <c r="D258" s="81">
        <f>IFERROR(__xludf.DUMMYFUNCTION("""COMPUTED_VALUE"""),7.0)</f>
        <v>7</v>
      </c>
      <c r="E258" s="81">
        <f>IFERROR(__xludf.DUMMYFUNCTION("""COMPUTED_VALUE"""),1.0)</f>
        <v>1</v>
      </c>
    </row>
    <row r="259">
      <c r="A259" s="81" t="str">
        <f>IFERROR(__xludf.DUMMYFUNCTION("""COMPUTED_VALUE"""),"Emil B")</f>
        <v>Emil B</v>
      </c>
      <c r="B259" s="81">
        <f>IFERROR(__xludf.DUMMYFUNCTION("""COMPUTED_VALUE"""),0.0)</f>
        <v>0</v>
      </c>
      <c r="C259" s="81">
        <f>IFERROR(__xludf.DUMMYFUNCTION("""COMPUTED_VALUE"""),0.0)</f>
        <v>0</v>
      </c>
      <c r="D259" s="81">
        <f>IFERROR(__xludf.DUMMYFUNCTION("""COMPUTED_VALUE"""),1.0)</f>
        <v>1</v>
      </c>
      <c r="E259" s="81">
        <f>IFERROR(__xludf.DUMMYFUNCTION("""COMPUTED_VALUE"""),7.0)</f>
        <v>7</v>
      </c>
    </row>
    <row r="260">
      <c r="A260" s="81" t="str">
        <f>IFERROR(__xludf.DUMMYFUNCTION("""COMPUTED_VALUE"""),"Ture H")</f>
        <v>Ture H</v>
      </c>
      <c r="B260" s="81">
        <f>IFERROR(__xludf.DUMMYFUNCTION("""COMPUTED_VALUE"""),0.0)</f>
        <v>0</v>
      </c>
      <c r="C260" s="81">
        <f>IFERROR(__xludf.DUMMYFUNCTION("""COMPUTED_VALUE"""),1.0)</f>
        <v>1</v>
      </c>
      <c r="D260" s="81">
        <f>IFERROR(__xludf.DUMMYFUNCTION("""COMPUTED_VALUE"""),5.0)</f>
        <v>5</v>
      </c>
      <c r="E260" s="81">
        <f>IFERROR(__xludf.DUMMYFUNCTION("""COMPUTED_VALUE"""),3.0)</f>
        <v>3</v>
      </c>
    </row>
    <row r="261">
      <c r="A261" s="81" t="str">
        <f>IFERROR(__xludf.DUMMYFUNCTION("""COMPUTED_VALUE"""),"Emil B")</f>
        <v>Emil B</v>
      </c>
      <c r="B261" s="81">
        <f>IFERROR(__xludf.DUMMYFUNCTION("""COMPUTED_VALUE"""),0.0)</f>
        <v>0</v>
      </c>
      <c r="C261" s="81">
        <f>IFERROR(__xludf.DUMMYFUNCTION("""COMPUTED_VALUE"""),3.0)</f>
        <v>3</v>
      </c>
      <c r="D261" s="81">
        <f>IFERROR(__xludf.DUMMYFUNCTION("""COMPUTED_VALUE"""),3.0)</f>
        <v>3</v>
      </c>
      <c r="E261" s="81">
        <f>IFERROR(__xludf.DUMMYFUNCTION("""COMPUTED_VALUE"""),5.0)</f>
        <v>5</v>
      </c>
    </row>
    <row r="262">
      <c r="A262" s="81" t="str">
        <f>IFERROR(__xludf.DUMMYFUNCTION("""COMPUTED_VALUE"""),"Jesper N")</f>
        <v>Jesper N</v>
      </c>
      <c r="B262" s="81">
        <f>IFERROR(__xludf.DUMMYFUNCTION("""COMPUTED_VALUE"""),0.0)</f>
        <v>0</v>
      </c>
      <c r="C262" s="81">
        <f>IFERROR(__xludf.DUMMYFUNCTION("""COMPUTED_VALUE"""),0.0)</f>
        <v>0</v>
      </c>
      <c r="D262" s="81">
        <f>IFERROR(__xludf.DUMMYFUNCTION("""COMPUTED_VALUE"""),7.0)</f>
        <v>7</v>
      </c>
      <c r="E262" s="81">
        <f>IFERROR(__xludf.DUMMYFUNCTION("""COMPUTED_VALUE"""),2.0)</f>
        <v>2</v>
      </c>
    </row>
    <row r="263">
      <c r="A263" s="81" t="str">
        <f>IFERROR(__xludf.DUMMYFUNCTION("""COMPUTED_VALUE"""),"Emil B")</f>
        <v>Emil B</v>
      </c>
      <c r="B263" s="81">
        <f>IFERROR(__xludf.DUMMYFUNCTION("""COMPUTED_VALUE"""),0.0)</f>
        <v>0</v>
      </c>
      <c r="C263" s="81">
        <f>IFERROR(__xludf.DUMMYFUNCTION("""COMPUTED_VALUE"""),0.0)</f>
        <v>0</v>
      </c>
      <c r="D263" s="81">
        <f>IFERROR(__xludf.DUMMYFUNCTION("""COMPUTED_VALUE"""),2.0)</f>
        <v>2</v>
      </c>
      <c r="E263" s="81">
        <f>IFERROR(__xludf.DUMMYFUNCTION("""COMPUTED_VALUE"""),7.0)</f>
        <v>7</v>
      </c>
    </row>
    <row r="264">
      <c r="A264" s="81" t="str">
        <f>IFERROR(__xludf.DUMMYFUNCTION("""COMPUTED_VALUE"""),"Jesper N")</f>
        <v>Jesper N</v>
      </c>
      <c r="B264" s="81">
        <f>IFERROR(__xludf.DUMMYFUNCTION("""COMPUTED_VALUE"""),0.0)</f>
        <v>0</v>
      </c>
      <c r="C264" s="81">
        <f>IFERROR(__xludf.DUMMYFUNCTION("""COMPUTED_VALUE"""),0.0)</f>
        <v>0</v>
      </c>
      <c r="D264" s="81">
        <f>IFERROR(__xludf.DUMMYFUNCTION("""COMPUTED_VALUE"""),5.0)</f>
        <v>5</v>
      </c>
      <c r="E264" s="81">
        <f>IFERROR(__xludf.DUMMYFUNCTION("""COMPUTED_VALUE"""),2.0)</f>
        <v>2</v>
      </c>
    </row>
    <row r="265">
      <c r="A265" s="81" t="str">
        <f>IFERROR(__xludf.DUMMYFUNCTION("""COMPUTED_VALUE"""),"Emil B")</f>
        <v>Emil B</v>
      </c>
      <c r="B265" s="81">
        <f>IFERROR(__xludf.DUMMYFUNCTION("""COMPUTED_VALUE"""),0.0)</f>
        <v>0</v>
      </c>
      <c r="C265" s="81">
        <f>IFERROR(__xludf.DUMMYFUNCTION("""COMPUTED_VALUE"""),1.0)</f>
        <v>1</v>
      </c>
      <c r="D265" s="81">
        <f>IFERROR(__xludf.DUMMYFUNCTION("""COMPUTED_VALUE"""),2.0)</f>
        <v>2</v>
      </c>
      <c r="E265" s="81">
        <f>IFERROR(__xludf.DUMMYFUNCTION("""COMPUTED_VALUE"""),5.0)</f>
        <v>5</v>
      </c>
    </row>
    <row r="266">
      <c r="A266" s="81" t="str">
        <f>IFERROR(__xludf.DUMMYFUNCTION("""COMPUTED_VALUE"""),"Emil B")</f>
        <v>Emil B</v>
      </c>
      <c r="B266" s="81">
        <f>IFERROR(__xludf.DUMMYFUNCTION("""COMPUTED_VALUE"""),2.0)</f>
        <v>2</v>
      </c>
      <c r="C266" s="81">
        <f>IFERROR(__xludf.DUMMYFUNCTION("""COMPUTED_VALUE"""),1.0)</f>
        <v>1</v>
      </c>
      <c r="D266" s="81">
        <f>IFERROR(__xludf.DUMMYFUNCTION("""COMPUTED_VALUE"""),6.0)</f>
        <v>6</v>
      </c>
      <c r="E266" s="81">
        <f>IFERROR(__xludf.DUMMYFUNCTION("""COMPUTED_VALUE"""),1.0)</f>
        <v>1</v>
      </c>
    </row>
    <row r="267">
      <c r="A267" s="81" t="str">
        <f>IFERROR(__xludf.DUMMYFUNCTION("""COMPUTED_VALUE"""),"Emil B")</f>
        <v>Emil B</v>
      </c>
      <c r="B267" s="81">
        <f>IFERROR(__xludf.DUMMYFUNCTION("""COMPUTED_VALUE"""),0.0)</f>
        <v>0</v>
      </c>
      <c r="C267" s="81">
        <f>IFERROR(__xludf.DUMMYFUNCTION("""COMPUTED_VALUE"""),0.0)</f>
        <v>0</v>
      </c>
      <c r="D267" s="81">
        <f>IFERROR(__xludf.DUMMYFUNCTION("""COMPUTED_VALUE"""),6.0)</f>
        <v>6</v>
      </c>
      <c r="E267" s="81">
        <f>IFERROR(__xludf.DUMMYFUNCTION("""COMPUTED_VALUE"""),5.0)</f>
        <v>5</v>
      </c>
    </row>
    <row r="268">
      <c r="A268" s="81" t="str">
        <f>IFERROR(__xludf.DUMMYFUNCTION("""COMPUTED_VALUE"""),"Jesper N")</f>
        <v>Jesper N</v>
      </c>
      <c r="B268" s="81">
        <f>IFERROR(__xludf.DUMMYFUNCTION("""COMPUTED_VALUE"""),0.0)</f>
        <v>0</v>
      </c>
      <c r="C268" s="81">
        <f>IFERROR(__xludf.DUMMYFUNCTION("""COMPUTED_VALUE"""),0.0)</f>
        <v>0</v>
      </c>
      <c r="D268" s="81">
        <f>IFERROR(__xludf.DUMMYFUNCTION("""COMPUTED_VALUE"""),5.0)</f>
        <v>5</v>
      </c>
      <c r="E268" s="81">
        <f>IFERROR(__xludf.DUMMYFUNCTION("""COMPUTED_VALUE"""),6.0)</f>
        <v>6</v>
      </c>
    </row>
    <row r="269">
      <c r="A269" s="81" t="str">
        <f>IFERROR(__xludf.DUMMYFUNCTION("""COMPUTED_VALUE"""),"Emil B")</f>
        <v>Emil B</v>
      </c>
      <c r="B269" s="81">
        <f>IFERROR(__xludf.DUMMYFUNCTION("""COMPUTED_VALUE"""),0.0)</f>
        <v>0</v>
      </c>
      <c r="C269" s="81">
        <f>IFERROR(__xludf.DUMMYFUNCTION("""COMPUTED_VALUE"""),2.0)</f>
        <v>2</v>
      </c>
      <c r="D269" s="81">
        <f>IFERROR(__xludf.DUMMYFUNCTION("""COMPUTED_VALUE"""),6.0)</f>
        <v>6</v>
      </c>
      <c r="E269" s="81">
        <f>IFERROR(__xludf.DUMMYFUNCTION("""COMPUTED_VALUE"""),4.0)</f>
        <v>4</v>
      </c>
    </row>
    <row r="270">
      <c r="A270" s="81" t="str">
        <f>IFERROR(__xludf.DUMMYFUNCTION("""COMPUTED_VALUE"""),"Pontus S")</f>
        <v>Pontus S</v>
      </c>
      <c r="B270" s="81">
        <f>IFERROR(__xludf.DUMMYFUNCTION("""COMPUTED_VALUE"""),0.0)</f>
        <v>0</v>
      </c>
      <c r="C270" s="81">
        <f>IFERROR(__xludf.DUMMYFUNCTION("""COMPUTED_VALUE"""),0.0)</f>
        <v>0</v>
      </c>
      <c r="D270" s="81">
        <f>IFERROR(__xludf.DUMMYFUNCTION("""COMPUTED_VALUE"""),4.0)</f>
        <v>4</v>
      </c>
      <c r="E270" s="81">
        <f>IFERROR(__xludf.DUMMYFUNCTION("""COMPUTED_VALUE"""),1.0)</f>
        <v>1</v>
      </c>
    </row>
    <row r="271">
      <c r="A271" s="81" t="str">
        <f>IFERROR(__xludf.DUMMYFUNCTION("""COMPUTED_VALUE"""),"Jesper N")</f>
        <v>Jesper N</v>
      </c>
      <c r="B271" s="81">
        <f>IFERROR(__xludf.DUMMYFUNCTION("""COMPUTED_VALUE"""),0.0)</f>
        <v>0</v>
      </c>
      <c r="C271" s="81">
        <f>IFERROR(__xludf.DUMMYFUNCTION("""COMPUTED_VALUE"""),1.0)</f>
        <v>1</v>
      </c>
      <c r="D271" s="81">
        <f>IFERROR(__xludf.DUMMYFUNCTION("""COMPUTED_VALUE"""),4.0)</f>
        <v>4</v>
      </c>
      <c r="E271" s="81">
        <f>IFERROR(__xludf.DUMMYFUNCTION("""COMPUTED_VALUE"""),5.0)</f>
        <v>5</v>
      </c>
    </row>
    <row r="272">
      <c r="A272" s="81"/>
      <c r="B272" s="81"/>
      <c r="C272" s="81"/>
      <c r="D272" s="81"/>
      <c r="E272" s="81"/>
    </row>
    <row r="273">
      <c r="A273" s="81"/>
      <c r="B273" s="81"/>
      <c r="C273" s="81"/>
      <c r="D273" s="81"/>
      <c r="E273" s="81"/>
    </row>
    <row r="274">
      <c r="A274" s="81"/>
      <c r="B274" s="81"/>
      <c r="C274" s="81"/>
      <c r="D274" s="81"/>
      <c r="E274" s="81"/>
    </row>
    <row r="275">
      <c r="A275" s="81"/>
      <c r="B275" s="81"/>
      <c r="C275" s="81"/>
      <c r="D275" s="81"/>
      <c r="E275" s="81"/>
    </row>
    <row r="276">
      <c r="A276" s="81"/>
      <c r="B276" s="81"/>
      <c r="C276" s="81"/>
      <c r="D276" s="81"/>
      <c r="E276" s="81"/>
    </row>
    <row r="277">
      <c r="A277" s="81"/>
      <c r="B277" s="81"/>
      <c r="C277" s="81"/>
      <c r="D277" s="81"/>
      <c r="E277" s="81"/>
    </row>
    <row r="278">
      <c r="A278" s="81"/>
      <c r="B278" s="81"/>
      <c r="C278" s="81"/>
      <c r="D278" s="81"/>
      <c r="E278" s="81"/>
    </row>
    <row r="279">
      <c r="A279" s="81"/>
      <c r="B279" s="81"/>
      <c r="C279" s="81"/>
      <c r="D279" s="81"/>
      <c r="E279" s="81"/>
    </row>
    <row r="280">
      <c r="A280" s="81"/>
      <c r="B280" s="81"/>
      <c r="C280" s="81"/>
      <c r="D280" s="81"/>
      <c r="E280" s="81"/>
    </row>
    <row r="281">
      <c r="A281" s="81"/>
      <c r="B281" s="81"/>
      <c r="C281" s="81"/>
      <c r="D281" s="81"/>
      <c r="E281" s="81"/>
    </row>
    <row r="282">
      <c r="A282" s="81"/>
      <c r="B282" s="81"/>
      <c r="C282" s="81"/>
      <c r="D282" s="81"/>
      <c r="E282" s="81"/>
    </row>
    <row r="283">
      <c r="A283" s="81"/>
      <c r="B283" s="81"/>
      <c r="C283" s="81"/>
      <c r="D283" s="81"/>
      <c r="E283" s="81"/>
    </row>
    <row r="284">
      <c r="A284" s="81"/>
      <c r="B284" s="81"/>
      <c r="C284" s="81"/>
      <c r="D284" s="81"/>
      <c r="E284" s="81"/>
    </row>
    <row r="285">
      <c r="A285" s="81"/>
      <c r="B285" s="81"/>
      <c r="C285" s="81"/>
      <c r="D285" s="81"/>
      <c r="E285" s="81"/>
    </row>
    <row r="286">
      <c r="A286" s="81"/>
      <c r="B286" s="81"/>
      <c r="C286" s="81"/>
      <c r="D286" s="81"/>
      <c r="E286" s="81"/>
    </row>
    <row r="287">
      <c r="A287" s="81"/>
      <c r="B287" s="81"/>
      <c r="C287" s="81"/>
      <c r="D287" s="81"/>
      <c r="E287" s="81"/>
    </row>
    <row r="288">
      <c r="A288" s="81"/>
      <c r="B288" s="81"/>
      <c r="C288" s="81"/>
      <c r="D288" s="81"/>
      <c r="E288" s="81"/>
    </row>
    <row r="289">
      <c r="A289" s="81"/>
      <c r="B289" s="81"/>
      <c r="C289" s="81"/>
      <c r="D289" s="81"/>
      <c r="E289" s="81"/>
    </row>
    <row r="290">
      <c r="A290" s="81"/>
      <c r="B290" s="81"/>
      <c r="C290" s="81"/>
      <c r="D290" s="81"/>
      <c r="E290" s="81"/>
    </row>
    <row r="291">
      <c r="A291" s="81"/>
      <c r="B291" s="81"/>
      <c r="C291" s="81"/>
      <c r="D291" s="81"/>
      <c r="E291" s="81"/>
    </row>
    <row r="292">
      <c r="A292" s="81"/>
      <c r="B292" s="81"/>
      <c r="C292" s="81"/>
      <c r="D292" s="81"/>
      <c r="E292" s="81"/>
    </row>
    <row r="293">
      <c r="A293" s="81"/>
      <c r="B293" s="81"/>
      <c r="C293" s="81"/>
      <c r="D293" s="81"/>
      <c r="E293" s="81"/>
    </row>
    <row r="294">
      <c r="A294" s="81"/>
      <c r="B294" s="81"/>
      <c r="C294" s="81"/>
      <c r="D294" s="81"/>
      <c r="E294" s="81"/>
    </row>
    <row r="295">
      <c r="A295" s="81"/>
      <c r="B295" s="81"/>
      <c r="C295" s="81"/>
      <c r="D295" s="81"/>
      <c r="E295" s="81"/>
    </row>
    <row r="296">
      <c r="A296" s="81"/>
      <c r="B296" s="81"/>
      <c r="C296" s="81"/>
      <c r="D296" s="81"/>
      <c r="E296" s="81"/>
    </row>
    <row r="297">
      <c r="A297" s="81"/>
      <c r="B297" s="81"/>
      <c r="C297" s="81"/>
      <c r="D297" s="81"/>
      <c r="E297" s="81"/>
    </row>
    <row r="298">
      <c r="A298" s="81"/>
      <c r="B298" s="81"/>
      <c r="C298" s="81"/>
      <c r="D298" s="81"/>
      <c r="E298" s="81"/>
    </row>
    <row r="299">
      <c r="A299" s="81"/>
      <c r="B299" s="81"/>
      <c r="C299" s="81"/>
      <c r="D299" s="81"/>
      <c r="E299" s="81"/>
    </row>
    <row r="300">
      <c r="A300" s="81"/>
      <c r="B300" s="81"/>
      <c r="C300" s="81"/>
      <c r="D300" s="81"/>
      <c r="E300" s="81"/>
    </row>
    <row r="301">
      <c r="A301" s="81"/>
      <c r="B301" s="81"/>
      <c r="C301" s="81"/>
      <c r="D301" s="81"/>
      <c r="E301" s="81"/>
    </row>
    <row r="302">
      <c r="A302" s="81"/>
      <c r="B302" s="81"/>
      <c r="C302" s="81"/>
      <c r="D302" s="81"/>
      <c r="E302" s="81"/>
    </row>
    <row r="303">
      <c r="A303" s="81"/>
      <c r="B303" s="81"/>
      <c r="C303" s="81"/>
      <c r="D303" s="81"/>
      <c r="E303" s="81"/>
    </row>
    <row r="304">
      <c r="A304" s="81"/>
      <c r="B304" s="81"/>
      <c r="C304" s="81"/>
      <c r="D304" s="81"/>
      <c r="E304" s="81"/>
    </row>
    <row r="305">
      <c r="A305" s="81"/>
      <c r="B305" s="81"/>
      <c r="C305" s="81"/>
      <c r="D305" s="81"/>
      <c r="E305" s="81"/>
    </row>
    <row r="306">
      <c r="A306" s="81"/>
      <c r="B306" s="81"/>
      <c r="C306" s="81"/>
      <c r="D306" s="81"/>
      <c r="E306" s="81"/>
    </row>
    <row r="307">
      <c r="A307" s="81"/>
      <c r="B307" s="81"/>
      <c r="C307" s="81"/>
      <c r="D307" s="81"/>
      <c r="E307" s="81"/>
    </row>
    <row r="308">
      <c r="A308" s="81"/>
      <c r="B308" s="81"/>
      <c r="C308" s="81"/>
      <c r="D308" s="81"/>
      <c r="E308" s="81"/>
    </row>
    <row r="309">
      <c r="A309" s="81"/>
      <c r="B309" s="81"/>
      <c r="C309" s="81"/>
      <c r="D309" s="81"/>
      <c r="E309" s="81"/>
    </row>
    <row r="310">
      <c r="A310" s="81"/>
      <c r="B310" s="81"/>
      <c r="C310" s="81"/>
      <c r="D310" s="81"/>
      <c r="E310" s="81"/>
    </row>
    <row r="311">
      <c r="A311" s="81"/>
      <c r="B311" s="81"/>
      <c r="C311" s="81"/>
      <c r="D311" s="81"/>
      <c r="E311" s="81"/>
    </row>
    <row r="312">
      <c r="A312" s="81"/>
      <c r="B312" s="81"/>
      <c r="C312" s="81"/>
      <c r="D312" s="81"/>
      <c r="E312" s="81"/>
    </row>
    <row r="313">
      <c r="A313" s="81"/>
      <c r="B313" s="81"/>
      <c r="C313" s="81"/>
      <c r="D313" s="81"/>
      <c r="E313" s="81"/>
    </row>
    <row r="314">
      <c r="A314" s="81"/>
      <c r="B314" s="81"/>
      <c r="C314" s="81"/>
      <c r="D314" s="81"/>
      <c r="E314" s="81"/>
    </row>
    <row r="315">
      <c r="A315" s="81"/>
      <c r="B315" s="81"/>
      <c r="C315" s="81"/>
      <c r="D315" s="81"/>
      <c r="E315" s="81"/>
    </row>
    <row r="316">
      <c r="A316" s="81"/>
      <c r="B316" s="81"/>
      <c r="C316" s="81"/>
      <c r="D316" s="81"/>
      <c r="E316" s="81"/>
    </row>
    <row r="317">
      <c r="A317" s="81"/>
      <c r="B317" s="81"/>
      <c r="C317" s="81"/>
      <c r="D317" s="81"/>
      <c r="E317" s="81"/>
    </row>
    <row r="318">
      <c r="A318" s="81"/>
      <c r="B318" s="81"/>
      <c r="C318" s="81"/>
      <c r="D318" s="81"/>
      <c r="E318" s="81"/>
    </row>
    <row r="319">
      <c r="A319" s="81"/>
      <c r="B319" s="81"/>
      <c r="C319" s="81"/>
      <c r="D319" s="81"/>
      <c r="E319" s="81"/>
    </row>
    <row r="320">
      <c r="A320" s="81"/>
      <c r="B320" s="81"/>
      <c r="C320" s="81"/>
      <c r="D320" s="81"/>
      <c r="E320" s="81"/>
    </row>
    <row r="321">
      <c r="A321" s="81"/>
      <c r="B321" s="81"/>
      <c r="C321" s="81"/>
      <c r="D321" s="81"/>
      <c r="E321" s="81"/>
    </row>
    <row r="322">
      <c r="A322" s="81"/>
      <c r="B322" s="81"/>
      <c r="C322" s="81"/>
      <c r="D322" s="81"/>
      <c r="E322" s="81"/>
    </row>
    <row r="323">
      <c r="A323" s="81"/>
      <c r="B323" s="81"/>
      <c r="C323" s="81"/>
      <c r="D323" s="81"/>
      <c r="E323" s="81"/>
    </row>
    <row r="324">
      <c r="A324" s="81"/>
      <c r="B324" s="81"/>
      <c r="C324" s="81"/>
      <c r="D324" s="81"/>
      <c r="E324" s="81"/>
    </row>
    <row r="325">
      <c r="A325" s="81"/>
      <c r="B325" s="81"/>
      <c r="C325" s="81"/>
      <c r="D325" s="81"/>
      <c r="E325" s="81"/>
    </row>
    <row r="326">
      <c r="A326" s="81"/>
      <c r="B326" s="81"/>
      <c r="C326" s="81"/>
      <c r="D326" s="81"/>
      <c r="E326" s="81"/>
    </row>
    <row r="327">
      <c r="A327" s="81"/>
      <c r="B327" s="81"/>
      <c r="C327" s="81"/>
      <c r="D327" s="81"/>
      <c r="E327" s="81"/>
    </row>
    <row r="328">
      <c r="A328" s="81"/>
      <c r="B328" s="81"/>
      <c r="C328" s="81"/>
      <c r="D328" s="81"/>
      <c r="E328" s="81"/>
    </row>
    <row r="329">
      <c r="A329" s="81"/>
      <c r="B329" s="81"/>
      <c r="C329" s="81"/>
      <c r="D329" s="81"/>
      <c r="E329" s="81"/>
    </row>
    <row r="330">
      <c r="A330" s="81"/>
      <c r="B330" s="81"/>
      <c r="C330" s="81"/>
      <c r="D330" s="81"/>
      <c r="E330" s="81"/>
    </row>
    <row r="331">
      <c r="A331" s="81"/>
      <c r="B331" s="81"/>
      <c r="C331" s="81"/>
      <c r="D331" s="81"/>
      <c r="E331" s="81"/>
    </row>
    <row r="332">
      <c r="A332" s="81"/>
      <c r="B332" s="81"/>
      <c r="C332" s="81"/>
      <c r="D332" s="81"/>
      <c r="E332" s="81"/>
    </row>
    <row r="333">
      <c r="A333" s="81"/>
      <c r="B333" s="81"/>
      <c r="C333" s="81"/>
      <c r="D333" s="81"/>
      <c r="E333" s="81"/>
    </row>
    <row r="334">
      <c r="A334" s="81"/>
      <c r="B334" s="81"/>
      <c r="C334" s="81"/>
      <c r="D334" s="81"/>
      <c r="E334" s="81"/>
    </row>
    <row r="335">
      <c r="A335" s="81"/>
      <c r="B335" s="81"/>
      <c r="C335" s="81"/>
      <c r="D335" s="81"/>
      <c r="E335" s="81"/>
    </row>
    <row r="336">
      <c r="A336" s="81"/>
      <c r="B336" s="81"/>
      <c r="C336" s="81"/>
      <c r="D336" s="81"/>
      <c r="E336" s="81"/>
    </row>
    <row r="337">
      <c r="A337" s="81"/>
      <c r="B337" s="81"/>
      <c r="C337" s="81"/>
      <c r="D337" s="81"/>
      <c r="E337" s="81"/>
    </row>
    <row r="338">
      <c r="A338" s="81"/>
      <c r="B338" s="81"/>
      <c r="C338" s="81"/>
      <c r="D338" s="81"/>
      <c r="E338" s="81"/>
    </row>
    <row r="339">
      <c r="A339" s="81"/>
      <c r="B339" s="81"/>
      <c r="C339" s="81"/>
      <c r="D339" s="81"/>
      <c r="E339" s="81"/>
    </row>
    <row r="340">
      <c r="A340" s="81"/>
      <c r="B340" s="81"/>
      <c r="C340" s="81"/>
      <c r="D340" s="81"/>
      <c r="E340" s="81"/>
    </row>
    <row r="341">
      <c r="A341" s="81"/>
      <c r="B341" s="81"/>
      <c r="C341" s="81"/>
      <c r="D341" s="81"/>
      <c r="E341" s="81"/>
    </row>
    <row r="342">
      <c r="A342" s="81"/>
      <c r="B342" s="81"/>
      <c r="C342" s="81"/>
      <c r="D342" s="81"/>
      <c r="E342" s="81"/>
    </row>
    <row r="343">
      <c r="A343" s="81"/>
      <c r="B343" s="81"/>
      <c r="C343" s="81"/>
      <c r="D343" s="81"/>
      <c r="E343" s="81"/>
    </row>
    <row r="344">
      <c r="A344" s="81"/>
      <c r="B344" s="81"/>
      <c r="C344" s="81"/>
      <c r="D344" s="81"/>
      <c r="E344" s="81"/>
    </row>
    <row r="345">
      <c r="A345" s="81"/>
      <c r="B345" s="81"/>
      <c r="C345" s="81"/>
      <c r="D345" s="81"/>
      <c r="E345" s="81"/>
    </row>
    <row r="346">
      <c r="A346" s="81"/>
      <c r="B346" s="81"/>
      <c r="C346" s="81"/>
      <c r="D346" s="81"/>
      <c r="E346" s="81"/>
    </row>
    <row r="347">
      <c r="A347" s="81"/>
      <c r="B347" s="81"/>
      <c r="C347" s="81"/>
      <c r="D347" s="81"/>
      <c r="E347" s="81"/>
    </row>
    <row r="348">
      <c r="A348" s="81"/>
      <c r="B348" s="81"/>
      <c r="C348" s="81"/>
      <c r="D348" s="81"/>
      <c r="E348" s="81"/>
    </row>
    <row r="349">
      <c r="A349" s="81"/>
      <c r="B349" s="81"/>
      <c r="C349" s="81"/>
      <c r="D349" s="81"/>
      <c r="E349" s="81"/>
    </row>
    <row r="350">
      <c r="A350" s="81"/>
      <c r="B350" s="81"/>
      <c r="C350" s="81"/>
      <c r="D350" s="81"/>
      <c r="E350" s="81"/>
    </row>
    <row r="351">
      <c r="A351" s="81"/>
      <c r="B351" s="81"/>
      <c r="C351" s="81"/>
      <c r="D351" s="81"/>
      <c r="E351" s="81"/>
    </row>
    <row r="352">
      <c r="A352" s="81"/>
      <c r="B352" s="81"/>
      <c r="C352" s="81"/>
      <c r="D352" s="81"/>
      <c r="E352" s="81"/>
    </row>
    <row r="353">
      <c r="A353" s="81"/>
      <c r="B353" s="81"/>
      <c r="C353" s="81"/>
      <c r="D353" s="81"/>
      <c r="E353" s="81"/>
    </row>
    <row r="354">
      <c r="A354" s="81"/>
      <c r="B354" s="81"/>
      <c r="C354" s="81"/>
      <c r="D354" s="81"/>
      <c r="E354" s="81"/>
    </row>
    <row r="355">
      <c r="A355" s="81"/>
      <c r="B355" s="81"/>
      <c r="C355" s="81"/>
      <c r="D355" s="81"/>
      <c r="E355" s="81"/>
    </row>
    <row r="356">
      <c r="A356" s="81"/>
      <c r="B356" s="81"/>
      <c r="C356" s="81"/>
      <c r="D356" s="81"/>
      <c r="E356" s="81"/>
    </row>
    <row r="357">
      <c r="A357" s="81"/>
      <c r="B357" s="81"/>
      <c r="C357" s="81"/>
      <c r="D357" s="81"/>
      <c r="E357" s="81"/>
    </row>
    <row r="358">
      <c r="A358" s="81"/>
      <c r="B358" s="81"/>
      <c r="C358" s="81"/>
      <c r="D358" s="81"/>
      <c r="E358" s="81"/>
    </row>
    <row r="359">
      <c r="A359" s="81"/>
      <c r="B359" s="81"/>
      <c r="C359" s="81"/>
      <c r="D359" s="81"/>
      <c r="E359" s="81"/>
    </row>
    <row r="360">
      <c r="A360" s="81"/>
      <c r="B360" s="81"/>
      <c r="C360" s="81"/>
      <c r="D360" s="81"/>
      <c r="E360" s="81"/>
    </row>
    <row r="361">
      <c r="A361" s="81"/>
      <c r="B361" s="81"/>
      <c r="C361" s="81"/>
      <c r="D361" s="81"/>
      <c r="E361" s="81"/>
    </row>
    <row r="362">
      <c r="A362" s="81"/>
      <c r="B362" s="81"/>
      <c r="C362" s="81"/>
      <c r="D362" s="81"/>
      <c r="E362" s="81"/>
    </row>
    <row r="363">
      <c r="A363" s="81"/>
      <c r="B363" s="81"/>
      <c r="C363" s="81"/>
      <c r="D363" s="81"/>
      <c r="E363" s="81"/>
    </row>
    <row r="364">
      <c r="A364" s="81"/>
      <c r="B364" s="81"/>
      <c r="C364" s="81"/>
      <c r="D364" s="81"/>
      <c r="E364" s="81"/>
    </row>
    <row r="365">
      <c r="A365" s="81"/>
      <c r="B365" s="81"/>
      <c r="C365" s="81"/>
      <c r="D365" s="81"/>
      <c r="E365" s="81"/>
    </row>
    <row r="366">
      <c r="A366" s="81"/>
      <c r="B366" s="81"/>
      <c r="C366" s="81"/>
      <c r="D366" s="81"/>
      <c r="E366" s="81"/>
    </row>
    <row r="367">
      <c r="A367" s="81"/>
      <c r="B367" s="81"/>
      <c r="C367" s="81"/>
      <c r="D367" s="81"/>
      <c r="E367" s="81"/>
    </row>
    <row r="368">
      <c r="A368" s="81"/>
      <c r="B368" s="81"/>
      <c r="C368" s="81"/>
      <c r="D368" s="81"/>
      <c r="E368" s="81"/>
    </row>
    <row r="369">
      <c r="A369" s="81"/>
      <c r="B369" s="81"/>
      <c r="C369" s="81"/>
      <c r="D369" s="81"/>
      <c r="E369" s="81"/>
    </row>
    <row r="370">
      <c r="A370" s="81"/>
      <c r="B370" s="81"/>
      <c r="C370" s="81"/>
      <c r="D370" s="81"/>
      <c r="E370" s="81"/>
    </row>
    <row r="371">
      <c r="A371" s="81"/>
      <c r="B371" s="81"/>
      <c r="C371" s="81"/>
      <c r="D371" s="81"/>
      <c r="E371" s="81"/>
    </row>
    <row r="372">
      <c r="A372" s="81"/>
      <c r="B372" s="81"/>
      <c r="C372" s="81"/>
      <c r="D372" s="81"/>
      <c r="E372" s="81"/>
    </row>
    <row r="373">
      <c r="A373" s="81"/>
      <c r="B373" s="81"/>
      <c r="C373" s="81"/>
      <c r="D373" s="81"/>
      <c r="E373" s="81"/>
    </row>
    <row r="374">
      <c r="A374" s="81"/>
      <c r="B374" s="81"/>
      <c r="C374" s="81"/>
      <c r="D374" s="81"/>
      <c r="E374" s="81"/>
    </row>
    <row r="375">
      <c r="A375" s="81"/>
      <c r="B375" s="81"/>
      <c r="C375" s="81"/>
      <c r="D375" s="81"/>
      <c r="E375" s="81"/>
    </row>
    <row r="376">
      <c r="A376" s="81"/>
      <c r="B376" s="81"/>
      <c r="C376" s="81"/>
      <c r="D376" s="81"/>
      <c r="E376" s="81"/>
    </row>
    <row r="377">
      <c r="A377" s="81"/>
      <c r="B377" s="81"/>
      <c r="C377" s="81"/>
      <c r="D377" s="81"/>
      <c r="E377" s="81"/>
    </row>
    <row r="378">
      <c r="A378" s="81"/>
      <c r="B378" s="81"/>
      <c r="C378" s="81"/>
      <c r="D378" s="81"/>
      <c r="E378" s="81"/>
    </row>
    <row r="379">
      <c r="A379" s="81"/>
      <c r="B379" s="81"/>
      <c r="C379" s="81"/>
      <c r="D379" s="81"/>
      <c r="E379" s="81"/>
    </row>
    <row r="380">
      <c r="A380" s="81"/>
      <c r="B380" s="81"/>
      <c r="C380" s="81"/>
      <c r="D380" s="81"/>
      <c r="E380" s="81"/>
    </row>
    <row r="381">
      <c r="A381" s="81"/>
      <c r="B381" s="81"/>
      <c r="C381" s="81"/>
      <c r="D381" s="81"/>
      <c r="E381" s="81"/>
    </row>
    <row r="382">
      <c r="A382" s="81"/>
      <c r="B382" s="81"/>
      <c r="C382" s="81"/>
      <c r="D382" s="81"/>
      <c r="E382" s="81"/>
    </row>
    <row r="383">
      <c r="A383" s="81"/>
      <c r="B383" s="81"/>
      <c r="C383" s="81"/>
      <c r="D383" s="81"/>
      <c r="E383" s="81"/>
    </row>
    <row r="384">
      <c r="A384" s="81"/>
      <c r="B384" s="81"/>
      <c r="C384" s="81"/>
      <c r="D384" s="81"/>
      <c r="E384" s="81"/>
    </row>
    <row r="385">
      <c r="A385" s="81"/>
      <c r="B385" s="81"/>
      <c r="C385" s="81"/>
      <c r="D385" s="81"/>
      <c r="E385" s="81"/>
    </row>
    <row r="386">
      <c r="A386" s="81"/>
      <c r="B386" s="81"/>
      <c r="C386" s="81"/>
      <c r="D386" s="81"/>
      <c r="E386" s="81"/>
    </row>
    <row r="387">
      <c r="A387" s="81"/>
      <c r="B387" s="81"/>
      <c r="C387" s="81"/>
      <c r="D387" s="81"/>
      <c r="E387" s="81"/>
    </row>
    <row r="388">
      <c r="A388" s="81"/>
      <c r="B388" s="81"/>
      <c r="C388" s="81"/>
      <c r="D388" s="81"/>
      <c r="E388" s="81"/>
    </row>
    <row r="389">
      <c r="A389" s="81"/>
      <c r="B389" s="81"/>
      <c r="C389" s="81"/>
      <c r="D389" s="81"/>
      <c r="E389" s="81"/>
    </row>
    <row r="390">
      <c r="A390" s="81"/>
      <c r="B390" s="81"/>
      <c r="C390" s="81"/>
      <c r="D390" s="81"/>
      <c r="E390" s="81"/>
    </row>
    <row r="391">
      <c r="A391" s="81"/>
      <c r="B391" s="81"/>
      <c r="C391" s="81"/>
      <c r="D391" s="81"/>
      <c r="E391" s="81"/>
    </row>
    <row r="392">
      <c r="A392" s="81"/>
      <c r="B392" s="81"/>
      <c r="C392" s="81"/>
      <c r="D392" s="81"/>
      <c r="E392" s="81"/>
    </row>
    <row r="393">
      <c r="A393" s="81"/>
      <c r="B393" s="81"/>
      <c r="C393" s="81"/>
      <c r="D393" s="81"/>
      <c r="E393" s="81"/>
    </row>
    <row r="394">
      <c r="A394" s="81"/>
      <c r="B394" s="81"/>
      <c r="C394" s="81"/>
      <c r="D394" s="81"/>
      <c r="E394" s="81"/>
    </row>
    <row r="395">
      <c r="A395" s="81"/>
      <c r="B395" s="81"/>
      <c r="C395" s="81"/>
      <c r="D395" s="81"/>
      <c r="E395" s="81"/>
    </row>
    <row r="396">
      <c r="A396" s="81"/>
      <c r="B396" s="81"/>
      <c r="C396" s="81"/>
      <c r="D396" s="81"/>
      <c r="E396" s="81"/>
    </row>
    <row r="397">
      <c r="A397" s="81"/>
      <c r="B397" s="81"/>
      <c r="C397" s="81"/>
      <c r="D397" s="81"/>
      <c r="E397" s="81"/>
    </row>
    <row r="398">
      <c r="A398" s="81"/>
      <c r="B398" s="81"/>
      <c r="C398" s="81"/>
      <c r="D398" s="81"/>
      <c r="E398" s="81"/>
    </row>
    <row r="399">
      <c r="A399" s="81"/>
      <c r="B399" s="81"/>
      <c r="C399" s="81"/>
      <c r="D399" s="81"/>
      <c r="E399" s="81"/>
    </row>
    <row r="400">
      <c r="A400" s="81"/>
      <c r="B400" s="81"/>
      <c r="C400" s="81"/>
      <c r="D400" s="81"/>
      <c r="E400" s="81"/>
    </row>
    <row r="401">
      <c r="A401" s="81"/>
      <c r="B401" s="81"/>
      <c r="C401" s="81"/>
      <c r="D401" s="81"/>
      <c r="E401" s="81"/>
    </row>
    <row r="402">
      <c r="A402" s="81"/>
      <c r="B402" s="81"/>
      <c r="C402" s="81"/>
      <c r="D402" s="81"/>
      <c r="E402" s="81"/>
    </row>
    <row r="403">
      <c r="A403" s="81"/>
      <c r="B403" s="81"/>
      <c r="C403" s="81"/>
      <c r="D403" s="81"/>
      <c r="E403" s="81"/>
    </row>
    <row r="404">
      <c r="A404" s="81"/>
      <c r="B404" s="81"/>
      <c r="C404" s="81"/>
      <c r="D404" s="81"/>
      <c r="E404" s="81"/>
    </row>
    <row r="405">
      <c r="A405" s="81"/>
      <c r="B405" s="81"/>
      <c r="C405" s="81"/>
      <c r="D405" s="81"/>
      <c r="E405" s="81"/>
    </row>
    <row r="406">
      <c r="A406" s="81"/>
      <c r="B406" s="81"/>
      <c r="C406" s="81"/>
      <c r="D406" s="81"/>
      <c r="E406" s="81"/>
    </row>
    <row r="407">
      <c r="A407" s="81"/>
      <c r="B407" s="81"/>
      <c r="C407" s="81"/>
      <c r="D407" s="81"/>
      <c r="E407" s="81"/>
    </row>
    <row r="408">
      <c r="A408" s="81"/>
      <c r="B408" s="81"/>
      <c r="C408" s="81"/>
      <c r="D408" s="81"/>
      <c r="E408" s="81"/>
    </row>
    <row r="409">
      <c r="A409" s="81"/>
      <c r="B409" s="81"/>
      <c r="C409" s="81"/>
      <c r="D409" s="81"/>
      <c r="E409" s="81"/>
    </row>
    <row r="410">
      <c r="A410" s="81"/>
      <c r="B410" s="81"/>
      <c r="C410" s="81"/>
      <c r="D410" s="81"/>
      <c r="E410" s="81"/>
    </row>
    <row r="411">
      <c r="A411" s="81"/>
      <c r="B411" s="81"/>
      <c r="C411" s="81"/>
      <c r="D411" s="81"/>
      <c r="E411" s="81"/>
    </row>
    <row r="412">
      <c r="A412" s="81"/>
      <c r="B412" s="81"/>
      <c r="C412" s="81"/>
      <c r="D412" s="81"/>
      <c r="E412" s="81"/>
    </row>
    <row r="413">
      <c r="A413" s="81"/>
      <c r="B413" s="81"/>
      <c r="C413" s="81"/>
      <c r="D413" s="81"/>
      <c r="E413" s="81"/>
    </row>
    <row r="414">
      <c r="A414" s="81"/>
      <c r="B414" s="81"/>
      <c r="C414" s="81"/>
      <c r="D414" s="81"/>
      <c r="E414" s="81"/>
    </row>
    <row r="415">
      <c r="A415" s="81"/>
      <c r="B415" s="81"/>
      <c r="C415" s="81"/>
      <c r="D415" s="81"/>
      <c r="E415" s="81"/>
    </row>
    <row r="416">
      <c r="A416" s="81"/>
      <c r="B416" s="81"/>
      <c r="C416" s="81"/>
      <c r="D416" s="81"/>
      <c r="E416" s="81"/>
    </row>
    <row r="417">
      <c r="A417" s="81"/>
      <c r="B417" s="81"/>
      <c r="C417" s="81"/>
      <c r="D417" s="81"/>
      <c r="E417" s="81"/>
    </row>
    <row r="418">
      <c r="A418" s="81"/>
      <c r="B418" s="81"/>
      <c r="C418" s="81"/>
      <c r="D418" s="81"/>
      <c r="E418" s="81"/>
    </row>
    <row r="419">
      <c r="A419" s="81"/>
      <c r="B419" s="81"/>
      <c r="C419" s="81"/>
      <c r="D419" s="81"/>
      <c r="E419" s="81"/>
    </row>
    <row r="420">
      <c r="A420" s="81"/>
      <c r="B420" s="81"/>
      <c r="C420" s="81"/>
      <c r="D420" s="81"/>
      <c r="E420" s="81"/>
    </row>
    <row r="421">
      <c r="A421" s="81"/>
      <c r="B421" s="81"/>
      <c r="C421" s="81"/>
      <c r="D421" s="81"/>
      <c r="E421" s="81"/>
    </row>
    <row r="422">
      <c r="A422" s="81"/>
      <c r="B422" s="81"/>
      <c r="C422" s="81"/>
      <c r="D422" s="81"/>
      <c r="E422" s="81"/>
    </row>
    <row r="423">
      <c r="A423" s="81"/>
      <c r="B423" s="81"/>
      <c r="C423" s="81"/>
      <c r="D423" s="81"/>
      <c r="E423" s="81"/>
    </row>
    <row r="424">
      <c r="A424" s="81"/>
      <c r="B424" s="81"/>
      <c r="C424" s="81"/>
      <c r="D424" s="81"/>
      <c r="E424" s="81"/>
    </row>
    <row r="425">
      <c r="A425" s="81"/>
      <c r="B425" s="81"/>
      <c r="C425" s="81"/>
      <c r="D425" s="81"/>
      <c r="E425" s="81"/>
    </row>
    <row r="426">
      <c r="A426" s="81"/>
      <c r="B426" s="81"/>
      <c r="C426" s="81"/>
      <c r="D426" s="81"/>
      <c r="E426" s="81"/>
    </row>
    <row r="427">
      <c r="A427" s="81"/>
      <c r="B427" s="81"/>
      <c r="C427" s="81"/>
      <c r="D427" s="81"/>
      <c r="E427" s="81"/>
    </row>
    <row r="428">
      <c r="A428" s="81"/>
      <c r="B428" s="81"/>
      <c r="C428" s="81"/>
      <c r="D428" s="81"/>
      <c r="E428" s="81"/>
    </row>
    <row r="429">
      <c r="A429" s="81"/>
      <c r="B429" s="81"/>
      <c r="C429" s="81"/>
      <c r="D429" s="81"/>
      <c r="E429" s="81"/>
    </row>
    <row r="430">
      <c r="A430" s="81"/>
      <c r="B430" s="81"/>
      <c r="C430" s="81"/>
      <c r="D430" s="81"/>
      <c r="E430" s="81"/>
    </row>
    <row r="431">
      <c r="A431" s="81"/>
      <c r="B431" s="81"/>
      <c r="C431" s="81"/>
      <c r="D431" s="81"/>
      <c r="E431" s="81"/>
    </row>
    <row r="432">
      <c r="A432" s="81"/>
      <c r="B432" s="81"/>
      <c r="C432" s="81"/>
      <c r="D432" s="81"/>
      <c r="E432" s="81"/>
    </row>
    <row r="433">
      <c r="A433" s="81"/>
      <c r="B433" s="81"/>
      <c r="C433" s="81"/>
      <c r="D433" s="81"/>
      <c r="E433" s="81"/>
    </row>
    <row r="434">
      <c r="A434" s="81"/>
      <c r="B434" s="81"/>
      <c r="C434" s="81"/>
      <c r="D434" s="81"/>
      <c r="E434" s="81"/>
    </row>
    <row r="435">
      <c r="A435" s="81"/>
      <c r="B435" s="81"/>
      <c r="C435" s="81"/>
      <c r="D435" s="81"/>
      <c r="E435" s="81"/>
    </row>
    <row r="436">
      <c r="A436" s="81"/>
      <c r="B436" s="81"/>
      <c r="C436" s="81"/>
      <c r="D436" s="81"/>
      <c r="E436" s="81"/>
    </row>
    <row r="437">
      <c r="A437" s="81"/>
      <c r="B437" s="81"/>
      <c r="C437" s="81"/>
      <c r="D437" s="81"/>
      <c r="E437" s="81"/>
    </row>
    <row r="438">
      <c r="A438" s="81"/>
      <c r="B438" s="81"/>
      <c r="C438" s="81"/>
      <c r="D438" s="81"/>
      <c r="E438" s="81"/>
    </row>
    <row r="439">
      <c r="A439" s="81"/>
      <c r="B439" s="81"/>
      <c r="C439" s="81"/>
      <c r="D439" s="81"/>
      <c r="E439" s="81"/>
    </row>
    <row r="440">
      <c r="A440" s="81"/>
      <c r="B440" s="81"/>
      <c r="C440" s="81"/>
      <c r="D440" s="81"/>
      <c r="E440" s="81"/>
    </row>
    <row r="441">
      <c r="A441" s="81"/>
      <c r="B441" s="81"/>
      <c r="C441" s="81"/>
      <c r="D441" s="81"/>
      <c r="E441" s="81"/>
    </row>
    <row r="442">
      <c r="A442" s="81"/>
      <c r="B442" s="81"/>
      <c r="C442" s="81"/>
      <c r="D442" s="81"/>
      <c r="E442" s="81"/>
    </row>
    <row r="443">
      <c r="A443" s="81"/>
      <c r="B443" s="81"/>
      <c r="C443" s="81"/>
      <c r="D443" s="81"/>
      <c r="E443" s="81"/>
    </row>
    <row r="444">
      <c r="A444" s="81"/>
      <c r="B444" s="81"/>
      <c r="C444" s="81"/>
      <c r="D444" s="81"/>
      <c r="E444" s="81"/>
    </row>
    <row r="445">
      <c r="A445" s="81"/>
      <c r="B445" s="81"/>
      <c r="C445" s="81"/>
      <c r="D445" s="81"/>
      <c r="E445" s="81"/>
    </row>
    <row r="446">
      <c r="A446" s="81"/>
      <c r="B446" s="81"/>
      <c r="C446" s="81"/>
      <c r="D446" s="81"/>
      <c r="E446" s="81"/>
    </row>
    <row r="447">
      <c r="A447" s="81"/>
      <c r="B447" s="81"/>
      <c r="C447" s="81"/>
      <c r="D447" s="81"/>
      <c r="E447" s="81"/>
    </row>
    <row r="448">
      <c r="A448" s="81"/>
      <c r="B448" s="81"/>
      <c r="C448" s="81"/>
      <c r="D448" s="81"/>
      <c r="E448" s="81"/>
    </row>
    <row r="449">
      <c r="A449" s="81"/>
      <c r="B449" s="81"/>
      <c r="C449" s="81"/>
      <c r="D449" s="81"/>
      <c r="E449" s="81"/>
    </row>
    <row r="450">
      <c r="A450" s="81"/>
      <c r="B450" s="81"/>
      <c r="C450" s="81"/>
      <c r="D450" s="81"/>
      <c r="E450" s="81"/>
    </row>
    <row r="451">
      <c r="A451" s="81"/>
      <c r="B451" s="81"/>
      <c r="C451" s="81"/>
      <c r="D451" s="81"/>
      <c r="E451" s="81"/>
    </row>
    <row r="452">
      <c r="A452" s="81"/>
      <c r="B452" s="81"/>
      <c r="C452" s="81"/>
      <c r="D452" s="81"/>
      <c r="E452" s="81"/>
    </row>
    <row r="453">
      <c r="A453" s="81"/>
      <c r="B453" s="81"/>
      <c r="C453" s="81"/>
      <c r="D453" s="81"/>
      <c r="E453" s="81"/>
    </row>
    <row r="454">
      <c r="A454" s="81"/>
      <c r="B454" s="81"/>
      <c r="C454" s="81"/>
      <c r="D454" s="81"/>
      <c r="E454" s="81"/>
    </row>
    <row r="455">
      <c r="A455" s="81"/>
      <c r="B455" s="81"/>
      <c r="C455" s="81"/>
      <c r="D455" s="81"/>
      <c r="E455" s="81"/>
    </row>
    <row r="456">
      <c r="A456" s="81"/>
      <c r="B456" s="81"/>
      <c r="C456" s="81"/>
      <c r="D456" s="81"/>
      <c r="E456" s="81"/>
    </row>
    <row r="457">
      <c r="A457" s="81"/>
      <c r="B457" s="81"/>
      <c r="C457" s="81"/>
      <c r="D457" s="81"/>
      <c r="E457" s="81"/>
    </row>
    <row r="458">
      <c r="A458" s="81"/>
      <c r="B458" s="81"/>
      <c r="C458" s="81"/>
      <c r="D458" s="81"/>
      <c r="E458" s="81"/>
    </row>
    <row r="459">
      <c r="A459" s="81"/>
      <c r="B459" s="81"/>
      <c r="C459" s="81"/>
      <c r="D459" s="81"/>
      <c r="E459" s="81"/>
    </row>
    <row r="460">
      <c r="A460" s="81"/>
      <c r="B460" s="81"/>
      <c r="C460" s="81"/>
      <c r="D460" s="81"/>
      <c r="E460" s="81"/>
    </row>
    <row r="461">
      <c r="A461" s="81"/>
      <c r="B461" s="81"/>
      <c r="C461" s="81"/>
      <c r="D461" s="81"/>
      <c r="E461" s="81"/>
    </row>
    <row r="462">
      <c r="A462" s="81"/>
      <c r="B462" s="81"/>
      <c r="C462" s="81"/>
      <c r="D462" s="81"/>
      <c r="E462" s="81"/>
    </row>
    <row r="463">
      <c r="A463" s="81"/>
      <c r="B463" s="81"/>
      <c r="C463" s="81"/>
      <c r="D463" s="81"/>
      <c r="E463" s="81"/>
    </row>
    <row r="464">
      <c r="A464" s="81"/>
      <c r="B464" s="81"/>
      <c r="C464" s="81"/>
      <c r="D464" s="81"/>
      <c r="E464" s="81"/>
    </row>
    <row r="465">
      <c r="A465" s="81"/>
      <c r="B465" s="81"/>
      <c r="C465" s="81"/>
      <c r="D465" s="81"/>
      <c r="E465" s="81"/>
    </row>
    <row r="466">
      <c r="A466" s="81"/>
      <c r="B466" s="81"/>
      <c r="C466" s="81"/>
      <c r="D466" s="81"/>
      <c r="E466" s="81"/>
    </row>
    <row r="467">
      <c r="A467" s="81"/>
      <c r="B467" s="81"/>
      <c r="C467" s="81"/>
      <c r="D467" s="81"/>
      <c r="E467" s="81"/>
    </row>
    <row r="468">
      <c r="A468" s="81"/>
      <c r="B468" s="81"/>
      <c r="C468" s="81"/>
      <c r="D468" s="81"/>
      <c r="E468" s="81"/>
    </row>
    <row r="469">
      <c r="A469" s="81"/>
      <c r="B469" s="81"/>
      <c r="C469" s="81"/>
      <c r="D469" s="81"/>
      <c r="E469" s="81"/>
    </row>
    <row r="470">
      <c r="A470" s="81"/>
      <c r="B470" s="81"/>
      <c r="C470" s="81"/>
      <c r="D470" s="81"/>
      <c r="E470" s="81"/>
    </row>
    <row r="471">
      <c r="A471" s="81"/>
      <c r="B471" s="81"/>
      <c r="C471" s="81"/>
      <c r="D471" s="81"/>
      <c r="E471" s="81"/>
    </row>
    <row r="472">
      <c r="A472" s="81"/>
      <c r="B472" s="81"/>
      <c r="C472" s="81"/>
      <c r="D472" s="81"/>
      <c r="E472" s="81"/>
    </row>
    <row r="473">
      <c r="A473" s="81"/>
      <c r="B473" s="81"/>
      <c r="C473" s="81"/>
      <c r="D473" s="81"/>
      <c r="E473" s="81"/>
    </row>
    <row r="474">
      <c r="A474" s="81"/>
      <c r="B474" s="81"/>
      <c r="C474" s="81"/>
      <c r="D474" s="81"/>
      <c r="E474" s="81"/>
    </row>
    <row r="475">
      <c r="A475" s="81"/>
      <c r="B475" s="81"/>
      <c r="C475" s="81"/>
      <c r="D475" s="81"/>
      <c r="E475" s="81"/>
    </row>
    <row r="476">
      <c r="A476" s="81"/>
      <c r="B476" s="81"/>
      <c r="C476" s="81"/>
      <c r="D476" s="81"/>
      <c r="E476" s="81"/>
    </row>
    <row r="477">
      <c r="A477" s="81"/>
      <c r="B477" s="81"/>
      <c r="C477" s="81"/>
      <c r="D477" s="81"/>
      <c r="E477" s="81"/>
    </row>
    <row r="478">
      <c r="A478" s="81"/>
      <c r="B478" s="81"/>
      <c r="C478" s="81"/>
      <c r="D478" s="81"/>
      <c r="E478" s="81"/>
    </row>
    <row r="479">
      <c r="A479" s="81"/>
      <c r="B479" s="81"/>
      <c r="C479" s="81"/>
      <c r="D479" s="81"/>
      <c r="E479" s="81"/>
    </row>
    <row r="480">
      <c r="A480" s="81"/>
      <c r="B480" s="81"/>
      <c r="C480" s="81"/>
      <c r="D480" s="81"/>
      <c r="E480" s="81"/>
    </row>
    <row r="481">
      <c r="A481" s="81"/>
      <c r="B481" s="81"/>
      <c r="C481" s="81"/>
      <c r="D481" s="81"/>
      <c r="E481" s="81"/>
    </row>
    <row r="482">
      <c r="A482" s="81"/>
      <c r="B482" s="81"/>
      <c r="C482" s="81"/>
      <c r="D482" s="81"/>
      <c r="E482" s="81"/>
    </row>
    <row r="483">
      <c r="A483" s="81"/>
      <c r="B483" s="81"/>
      <c r="C483" s="81"/>
      <c r="D483" s="81"/>
      <c r="E483" s="81"/>
    </row>
    <row r="484">
      <c r="A484" s="81"/>
      <c r="B484" s="81"/>
      <c r="C484" s="81"/>
      <c r="D484" s="81"/>
      <c r="E484" s="81"/>
    </row>
    <row r="485">
      <c r="A485" s="81"/>
      <c r="B485" s="81"/>
      <c r="C485" s="81"/>
      <c r="D485" s="81"/>
      <c r="E485" s="81"/>
    </row>
    <row r="486">
      <c r="A486" s="81"/>
      <c r="B486" s="81"/>
      <c r="C486" s="81"/>
      <c r="D486" s="81"/>
      <c r="E486" s="81"/>
    </row>
    <row r="487">
      <c r="A487" s="81"/>
      <c r="B487" s="81"/>
      <c r="C487" s="81"/>
      <c r="D487" s="81"/>
      <c r="E487" s="81"/>
    </row>
    <row r="488">
      <c r="A488" s="81"/>
      <c r="B488" s="81"/>
      <c r="C488" s="81"/>
      <c r="D488" s="81"/>
      <c r="E488" s="81"/>
    </row>
    <row r="489">
      <c r="A489" s="81"/>
      <c r="B489" s="81"/>
      <c r="C489" s="81"/>
      <c r="D489" s="81"/>
      <c r="E489" s="81"/>
    </row>
    <row r="490">
      <c r="A490" s="81"/>
      <c r="B490" s="81"/>
      <c r="C490" s="81"/>
      <c r="D490" s="81"/>
      <c r="E490" s="81"/>
    </row>
    <row r="491">
      <c r="A491" s="81"/>
      <c r="B491" s="81"/>
      <c r="C491" s="81"/>
      <c r="D491" s="81"/>
      <c r="E491" s="81"/>
    </row>
    <row r="492">
      <c r="A492" s="81"/>
      <c r="B492" s="81"/>
      <c r="C492" s="81"/>
      <c r="D492" s="81"/>
      <c r="E492" s="81"/>
    </row>
    <row r="493">
      <c r="A493" s="81"/>
      <c r="B493" s="81"/>
      <c r="C493" s="81"/>
      <c r="D493" s="81"/>
      <c r="E493" s="81"/>
    </row>
    <row r="494">
      <c r="A494" s="81"/>
      <c r="B494" s="81"/>
      <c r="C494" s="81"/>
      <c r="D494" s="81"/>
      <c r="E494" s="81"/>
    </row>
    <row r="495">
      <c r="A495" s="81"/>
      <c r="B495" s="81"/>
      <c r="C495" s="81"/>
      <c r="D495" s="81"/>
      <c r="E495" s="81"/>
    </row>
    <row r="496">
      <c r="A496" s="81"/>
      <c r="B496" s="81"/>
      <c r="C496" s="81"/>
      <c r="D496" s="81"/>
      <c r="E496" s="81"/>
    </row>
    <row r="497">
      <c r="A497" s="81"/>
      <c r="B497" s="81"/>
      <c r="C497" s="81"/>
      <c r="D497" s="81"/>
      <c r="E497" s="81"/>
    </row>
    <row r="498">
      <c r="A498" s="81"/>
      <c r="B498" s="81"/>
      <c r="C498" s="81"/>
      <c r="D498" s="81"/>
      <c r="E498" s="81"/>
    </row>
    <row r="499">
      <c r="A499" s="81"/>
      <c r="B499" s="81"/>
      <c r="C499" s="81"/>
      <c r="D499" s="81"/>
      <c r="E499" s="81"/>
    </row>
    <row r="500">
      <c r="A500" s="81"/>
      <c r="B500" s="81"/>
      <c r="C500" s="81"/>
      <c r="D500" s="81"/>
      <c r="E500" s="81"/>
    </row>
    <row r="501">
      <c r="A501" s="81"/>
      <c r="B501" s="81"/>
      <c r="C501" s="81"/>
      <c r="D501" s="81"/>
      <c r="E501" s="81"/>
    </row>
    <row r="502">
      <c r="A502" s="81"/>
      <c r="B502" s="81"/>
      <c r="C502" s="81"/>
      <c r="D502" s="81"/>
      <c r="E502" s="81"/>
    </row>
    <row r="503">
      <c r="A503" s="81"/>
      <c r="B503" s="81"/>
      <c r="C503" s="81"/>
      <c r="D503" s="81"/>
      <c r="E503" s="81"/>
    </row>
    <row r="504">
      <c r="A504" s="81"/>
      <c r="B504" s="81"/>
      <c r="C504" s="81"/>
      <c r="D504" s="81"/>
      <c r="E504" s="81"/>
    </row>
    <row r="505">
      <c r="A505" s="81"/>
      <c r="B505" s="81"/>
      <c r="C505" s="81"/>
      <c r="D505" s="81"/>
      <c r="E505" s="81"/>
    </row>
    <row r="506">
      <c r="A506" s="81"/>
      <c r="B506" s="81"/>
      <c r="C506" s="81"/>
      <c r="D506" s="81"/>
      <c r="E506" s="81"/>
    </row>
    <row r="507">
      <c r="A507" s="81"/>
      <c r="B507" s="81"/>
      <c r="C507" s="81"/>
      <c r="D507" s="81"/>
      <c r="E507" s="81"/>
    </row>
    <row r="508">
      <c r="A508" s="81"/>
      <c r="B508" s="81"/>
      <c r="C508" s="81"/>
      <c r="D508" s="81"/>
      <c r="E508" s="81"/>
    </row>
    <row r="509">
      <c r="A509" s="81"/>
      <c r="B509" s="81"/>
      <c r="C509" s="81"/>
      <c r="D509" s="81"/>
      <c r="E509" s="81"/>
    </row>
    <row r="510">
      <c r="A510" s="81"/>
      <c r="B510" s="81"/>
      <c r="C510" s="81"/>
      <c r="D510" s="81"/>
      <c r="E510" s="81"/>
    </row>
    <row r="511">
      <c r="A511" s="81"/>
      <c r="B511" s="81"/>
      <c r="C511" s="81"/>
      <c r="D511" s="81"/>
      <c r="E511" s="81"/>
    </row>
    <row r="512">
      <c r="A512" s="81"/>
      <c r="B512" s="81"/>
      <c r="C512" s="81"/>
      <c r="D512" s="81"/>
      <c r="E512" s="81"/>
    </row>
    <row r="513">
      <c r="A513" s="81"/>
      <c r="B513" s="81"/>
      <c r="C513" s="81"/>
      <c r="D513" s="81"/>
      <c r="E513" s="81"/>
    </row>
    <row r="514">
      <c r="A514" s="81"/>
      <c r="B514" s="81"/>
      <c r="C514" s="81"/>
      <c r="D514" s="81"/>
      <c r="E514" s="81"/>
    </row>
    <row r="515">
      <c r="A515" s="81"/>
      <c r="B515" s="81"/>
      <c r="C515" s="81"/>
      <c r="D515" s="81"/>
      <c r="E515" s="81"/>
    </row>
    <row r="516">
      <c r="A516" s="81"/>
      <c r="B516" s="81"/>
      <c r="C516" s="81"/>
      <c r="D516" s="81"/>
      <c r="E516" s="81"/>
    </row>
    <row r="517">
      <c r="A517" s="81"/>
      <c r="B517" s="81"/>
      <c r="C517" s="81"/>
      <c r="D517" s="81"/>
      <c r="E517" s="81"/>
    </row>
    <row r="518">
      <c r="A518" s="81"/>
      <c r="B518" s="81"/>
      <c r="C518" s="81"/>
      <c r="D518" s="81"/>
      <c r="E518" s="81"/>
    </row>
    <row r="519">
      <c r="A519" s="81"/>
      <c r="B519" s="81"/>
      <c r="C519" s="81"/>
      <c r="D519" s="81"/>
      <c r="E519" s="81"/>
    </row>
    <row r="520">
      <c r="A520" s="81"/>
      <c r="B520" s="81"/>
      <c r="C520" s="81"/>
      <c r="D520" s="81"/>
      <c r="E520" s="81"/>
    </row>
    <row r="521">
      <c r="A521" s="81"/>
      <c r="B521" s="81"/>
      <c r="C521" s="81"/>
      <c r="D521" s="81"/>
      <c r="E521" s="81"/>
    </row>
    <row r="522">
      <c r="A522" s="81"/>
      <c r="B522" s="81"/>
      <c r="C522" s="81"/>
      <c r="D522" s="81"/>
      <c r="E522" s="81"/>
    </row>
    <row r="523">
      <c r="A523" s="81"/>
      <c r="B523" s="81"/>
      <c r="C523" s="81"/>
      <c r="D523" s="81"/>
      <c r="E523" s="81"/>
    </row>
    <row r="524">
      <c r="A524" s="81"/>
      <c r="B524" s="81"/>
      <c r="C524" s="81"/>
      <c r="D524" s="81"/>
      <c r="E524" s="81"/>
    </row>
    <row r="525">
      <c r="A525" s="81"/>
      <c r="B525" s="81"/>
      <c r="C525" s="81"/>
      <c r="D525" s="81"/>
      <c r="E525" s="81"/>
    </row>
    <row r="526">
      <c r="A526" s="81"/>
      <c r="B526" s="81"/>
      <c r="C526" s="81"/>
      <c r="D526" s="81"/>
      <c r="E526" s="81"/>
    </row>
    <row r="527">
      <c r="A527" s="81"/>
      <c r="B527" s="81"/>
      <c r="C527" s="81"/>
      <c r="D527" s="81"/>
      <c r="E527" s="81"/>
    </row>
    <row r="528">
      <c r="A528" s="81"/>
      <c r="B528" s="81"/>
      <c r="C528" s="81"/>
      <c r="D528" s="81"/>
      <c r="E528" s="81"/>
    </row>
    <row r="529">
      <c r="A529" s="81"/>
      <c r="B529" s="81"/>
      <c r="C529" s="81"/>
      <c r="D529" s="81"/>
      <c r="E529" s="81"/>
    </row>
    <row r="530">
      <c r="A530" s="81"/>
      <c r="B530" s="81"/>
      <c r="C530" s="81"/>
      <c r="D530" s="81"/>
      <c r="E530" s="81"/>
    </row>
    <row r="531">
      <c r="A531" s="81"/>
      <c r="B531" s="81"/>
      <c r="C531" s="81"/>
      <c r="D531" s="81"/>
      <c r="E531" s="81"/>
    </row>
    <row r="532">
      <c r="A532" s="81"/>
      <c r="B532" s="81"/>
      <c r="C532" s="81"/>
      <c r="D532" s="81"/>
      <c r="E532" s="81"/>
    </row>
    <row r="533">
      <c r="A533" s="81"/>
      <c r="B533" s="81"/>
      <c r="C533" s="81"/>
      <c r="D533" s="81"/>
      <c r="E533" s="81"/>
    </row>
    <row r="534">
      <c r="A534" s="81"/>
      <c r="B534" s="81"/>
      <c r="C534" s="81"/>
      <c r="D534" s="81"/>
      <c r="E534" s="81"/>
    </row>
    <row r="535">
      <c r="A535" s="81"/>
      <c r="B535" s="81"/>
      <c r="C535" s="81"/>
      <c r="D535" s="81"/>
      <c r="E535" s="81"/>
    </row>
    <row r="536">
      <c r="A536" s="81"/>
      <c r="B536" s="81"/>
      <c r="C536" s="81"/>
      <c r="D536" s="81"/>
      <c r="E536" s="81"/>
    </row>
    <row r="537">
      <c r="A537" s="81"/>
      <c r="B537" s="81"/>
      <c r="C537" s="81"/>
      <c r="D537" s="81"/>
      <c r="E537" s="81"/>
    </row>
    <row r="538">
      <c r="A538" s="81"/>
      <c r="B538" s="81"/>
      <c r="C538" s="81"/>
      <c r="D538" s="81"/>
      <c r="E538" s="81"/>
    </row>
    <row r="539">
      <c r="A539" s="81"/>
      <c r="B539" s="81"/>
      <c r="C539" s="81"/>
      <c r="D539" s="81"/>
      <c r="E539" s="81"/>
    </row>
    <row r="540">
      <c r="A540" s="81"/>
      <c r="B540" s="81"/>
      <c r="C540" s="81"/>
      <c r="D540" s="81"/>
      <c r="E540" s="81"/>
    </row>
    <row r="541">
      <c r="A541" s="81"/>
      <c r="B541" s="81"/>
      <c r="C541" s="81"/>
      <c r="D541" s="81"/>
      <c r="E541" s="81"/>
    </row>
    <row r="542">
      <c r="A542" s="81"/>
      <c r="B542" s="81"/>
      <c r="C542" s="81"/>
      <c r="D542" s="81"/>
      <c r="E542" s="81"/>
    </row>
    <row r="543">
      <c r="A543" s="81"/>
      <c r="B543" s="81"/>
      <c r="C543" s="81"/>
      <c r="D543" s="81"/>
      <c r="E543" s="81"/>
    </row>
    <row r="544">
      <c r="A544" s="81"/>
      <c r="B544" s="81"/>
      <c r="C544" s="81"/>
      <c r="D544" s="81"/>
      <c r="E544" s="81"/>
    </row>
    <row r="545">
      <c r="A545" s="81"/>
      <c r="B545" s="81"/>
      <c r="C545" s="81"/>
      <c r="D545" s="81"/>
      <c r="E545" s="81"/>
    </row>
    <row r="546">
      <c r="A546" s="81"/>
      <c r="B546" s="81"/>
      <c r="C546" s="81"/>
      <c r="D546" s="81"/>
      <c r="E546" s="81"/>
    </row>
    <row r="547">
      <c r="A547" s="81"/>
      <c r="B547" s="81"/>
      <c r="C547" s="81"/>
      <c r="D547" s="81"/>
      <c r="E547" s="81"/>
    </row>
    <row r="548">
      <c r="A548" s="81"/>
      <c r="B548" s="81"/>
      <c r="C548" s="81"/>
      <c r="D548" s="81"/>
      <c r="E548" s="81"/>
    </row>
    <row r="549">
      <c r="A549" s="81"/>
      <c r="B549" s="81"/>
      <c r="C549" s="81"/>
      <c r="D549" s="81"/>
      <c r="E549" s="81"/>
    </row>
    <row r="550">
      <c r="A550" s="81"/>
      <c r="B550" s="81"/>
      <c r="C550" s="81"/>
      <c r="D550" s="81"/>
      <c r="E550" s="81"/>
    </row>
    <row r="551">
      <c r="A551" s="81"/>
      <c r="B551" s="81"/>
      <c r="C551" s="81"/>
      <c r="D551" s="81"/>
      <c r="E551" s="81"/>
    </row>
    <row r="552">
      <c r="A552" s="81"/>
      <c r="B552" s="81"/>
      <c r="C552" s="81"/>
      <c r="D552" s="81"/>
      <c r="E552" s="81"/>
    </row>
    <row r="553">
      <c r="A553" s="81"/>
      <c r="B553" s="81"/>
      <c r="C553" s="81"/>
      <c r="D553" s="81"/>
      <c r="E553" s="81"/>
    </row>
    <row r="554">
      <c r="A554" s="81"/>
      <c r="B554" s="81"/>
      <c r="C554" s="81"/>
      <c r="D554" s="81"/>
      <c r="E554" s="81"/>
    </row>
    <row r="555">
      <c r="A555" s="81"/>
      <c r="B555" s="81"/>
      <c r="C555" s="81"/>
      <c r="D555" s="81"/>
      <c r="E555" s="81"/>
    </row>
    <row r="556">
      <c r="A556" s="81"/>
      <c r="B556" s="81"/>
      <c r="C556" s="81"/>
      <c r="D556" s="81"/>
      <c r="E556" s="81"/>
    </row>
    <row r="557">
      <c r="A557" s="81"/>
      <c r="B557" s="81"/>
      <c r="C557" s="81"/>
      <c r="D557" s="81"/>
      <c r="E557" s="81"/>
    </row>
    <row r="558">
      <c r="A558" s="81"/>
      <c r="B558" s="81"/>
      <c r="C558" s="81"/>
      <c r="D558" s="81"/>
      <c r="E558" s="81"/>
    </row>
    <row r="559">
      <c r="A559" s="81"/>
      <c r="B559" s="81"/>
      <c r="C559" s="81"/>
      <c r="D559" s="81"/>
      <c r="E559" s="81"/>
    </row>
    <row r="560">
      <c r="A560" s="81"/>
      <c r="B560" s="81"/>
      <c r="C560" s="81"/>
      <c r="D560" s="81"/>
      <c r="E560" s="81"/>
    </row>
    <row r="561">
      <c r="A561" s="81"/>
      <c r="B561" s="81"/>
      <c r="C561" s="81"/>
      <c r="D561" s="81"/>
      <c r="E561" s="81"/>
    </row>
    <row r="562">
      <c r="A562" s="81"/>
      <c r="B562" s="81"/>
      <c r="C562" s="81"/>
      <c r="D562" s="81"/>
      <c r="E562" s="81"/>
    </row>
    <row r="563">
      <c r="A563" s="81"/>
      <c r="B563" s="81"/>
      <c r="C563" s="81"/>
      <c r="D563" s="81"/>
      <c r="E563" s="81"/>
    </row>
    <row r="564">
      <c r="A564" s="81"/>
      <c r="B564" s="81"/>
      <c r="C564" s="81"/>
      <c r="D564" s="81"/>
      <c r="E564" s="81"/>
    </row>
    <row r="565">
      <c r="A565" s="81"/>
      <c r="B565" s="81"/>
      <c r="C565" s="81"/>
      <c r="D565" s="81"/>
      <c r="E565" s="81"/>
    </row>
    <row r="566">
      <c r="A566" s="81"/>
      <c r="B566" s="81"/>
      <c r="C566" s="81"/>
      <c r="D566" s="81"/>
      <c r="E566" s="81"/>
    </row>
    <row r="567">
      <c r="A567" s="81"/>
      <c r="B567" s="81"/>
      <c r="C567" s="81"/>
      <c r="D567" s="81"/>
      <c r="E567" s="81"/>
    </row>
    <row r="568">
      <c r="A568" s="81"/>
      <c r="B568" s="81"/>
      <c r="C568" s="81"/>
      <c r="D568" s="81"/>
      <c r="E568" s="81"/>
    </row>
    <row r="569">
      <c r="A569" s="81"/>
      <c r="B569" s="81"/>
      <c r="C569" s="81"/>
      <c r="D569" s="81"/>
      <c r="E569" s="81"/>
    </row>
    <row r="570">
      <c r="A570" s="81"/>
      <c r="B570" s="81"/>
      <c r="C570" s="81"/>
      <c r="D570" s="81"/>
      <c r="E570" s="81"/>
    </row>
    <row r="571">
      <c r="A571" s="81"/>
      <c r="B571" s="81"/>
      <c r="C571" s="81"/>
      <c r="D571" s="81"/>
      <c r="E571" s="81"/>
    </row>
    <row r="572">
      <c r="A572" s="81"/>
      <c r="B572" s="81"/>
      <c r="C572" s="81"/>
      <c r="D572" s="81"/>
      <c r="E572" s="81"/>
    </row>
    <row r="573">
      <c r="A573" s="81"/>
      <c r="B573" s="81"/>
      <c r="C573" s="81"/>
      <c r="D573" s="81"/>
      <c r="E573" s="81"/>
    </row>
    <row r="574">
      <c r="A574" s="81"/>
      <c r="B574" s="81"/>
      <c r="C574" s="81"/>
      <c r="D574" s="81"/>
      <c r="E574" s="81"/>
    </row>
    <row r="575">
      <c r="A575" s="81"/>
      <c r="B575" s="81"/>
      <c r="C575" s="81"/>
      <c r="D575" s="81"/>
      <c r="E575" s="81"/>
    </row>
    <row r="576">
      <c r="A576" s="81"/>
      <c r="B576" s="81"/>
      <c r="C576" s="81"/>
      <c r="D576" s="81"/>
      <c r="E576" s="81"/>
    </row>
    <row r="577">
      <c r="A577" s="81"/>
      <c r="B577" s="81"/>
      <c r="C577" s="81"/>
      <c r="D577" s="81"/>
      <c r="E577" s="81"/>
    </row>
    <row r="578">
      <c r="A578" s="81"/>
      <c r="B578" s="81"/>
      <c r="C578" s="81"/>
      <c r="D578" s="81"/>
      <c r="E578" s="81"/>
    </row>
    <row r="579">
      <c r="A579" s="81"/>
      <c r="B579" s="81"/>
      <c r="C579" s="81"/>
      <c r="D579" s="81"/>
      <c r="E579" s="81"/>
    </row>
    <row r="580">
      <c r="A580" s="81"/>
      <c r="B580" s="81"/>
      <c r="C580" s="81"/>
      <c r="D580" s="81"/>
      <c r="E580" s="81"/>
    </row>
    <row r="581">
      <c r="A581" s="81"/>
      <c r="B581" s="81"/>
      <c r="C581" s="81"/>
      <c r="D581" s="81"/>
      <c r="E581" s="81"/>
    </row>
    <row r="582">
      <c r="A582" s="81"/>
      <c r="B582" s="81"/>
      <c r="C582" s="81"/>
      <c r="D582" s="81"/>
      <c r="E582" s="81"/>
    </row>
    <row r="583">
      <c r="A583" s="81"/>
      <c r="B583" s="81"/>
      <c r="C583" s="81"/>
      <c r="D583" s="81"/>
      <c r="E583" s="81"/>
    </row>
    <row r="584">
      <c r="A584" s="81"/>
      <c r="B584" s="81"/>
      <c r="C584" s="81"/>
      <c r="D584" s="81"/>
      <c r="E584" s="81"/>
    </row>
    <row r="585">
      <c r="A585" s="81"/>
      <c r="B585" s="81"/>
      <c r="C585" s="81"/>
      <c r="D585" s="81"/>
      <c r="E585" s="81"/>
    </row>
    <row r="586">
      <c r="A586" s="81"/>
      <c r="B586" s="81"/>
      <c r="C586" s="81"/>
      <c r="D586" s="81"/>
      <c r="E586" s="81"/>
    </row>
    <row r="587">
      <c r="A587" s="81"/>
      <c r="B587" s="81"/>
      <c r="C587" s="81"/>
      <c r="D587" s="81"/>
      <c r="E587" s="81"/>
    </row>
    <row r="588">
      <c r="A588" s="81"/>
      <c r="B588" s="81"/>
      <c r="C588" s="81"/>
      <c r="D588" s="81"/>
      <c r="E588" s="81"/>
    </row>
    <row r="589">
      <c r="A589" s="81"/>
      <c r="B589" s="81"/>
      <c r="C589" s="81"/>
      <c r="D589" s="81"/>
      <c r="E589" s="81"/>
    </row>
    <row r="590">
      <c r="A590" s="81"/>
      <c r="B590" s="81"/>
      <c r="C590" s="81"/>
      <c r="D590" s="81"/>
      <c r="E590" s="81"/>
    </row>
    <row r="591">
      <c r="A591" s="81"/>
      <c r="B591" s="81"/>
      <c r="C591" s="81"/>
      <c r="D591" s="81"/>
      <c r="E591" s="81"/>
    </row>
    <row r="592">
      <c r="A592" s="81"/>
      <c r="B592" s="81"/>
      <c r="C592" s="81"/>
      <c r="D592" s="81"/>
      <c r="E592" s="81"/>
    </row>
    <row r="593">
      <c r="A593" s="81"/>
      <c r="B593" s="81"/>
      <c r="C593" s="81"/>
      <c r="D593" s="81"/>
      <c r="E593" s="81"/>
    </row>
    <row r="594">
      <c r="A594" s="81"/>
      <c r="B594" s="81"/>
      <c r="C594" s="81"/>
      <c r="D594" s="81"/>
      <c r="E594" s="81"/>
    </row>
    <row r="595">
      <c r="A595" s="81"/>
      <c r="B595" s="81"/>
      <c r="C595" s="81"/>
      <c r="D595" s="81"/>
      <c r="E595" s="81"/>
    </row>
    <row r="596">
      <c r="A596" s="81"/>
      <c r="B596" s="81"/>
      <c r="C596" s="81"/>
      <c r="D596" s="81"/>
      <c r="E596" s="81"/>
    </row>
    <row r="597">
      <c r="A597" s="81"/>
      <c r="B597" s="81"/>
      <c r="C597" s="81"/>
      <c r="D597" s="81"/>
      <c r="E597" s="81"/>
    </row>
    <row r="598">
      <c r="A598" s="81"/>
      <c r="B598" s="81"/>
      <c r="C598" s="81"/>
      <c r="D598" s="81"/>
      <c r="E598" s="81"/>
    </row>
    <row r="599">
      <c r="A599" s="81"/>
      <c r="B599" s="81"/>
      <c r="C599" s="81"/>
      <c r="D599" s="81"/>
      <c r="E599" s="81"/>
    </row>
    <row r="600">
      <c r="A600" s="81"/>
      <c r="B600" s="81"/>
      <c r="C600" s="81"/>
      <c r="D600" s="81"/>
      <c r="E600" s="81"/>
    </row>
    <row r="601">
      <c r="A601" s="81"/>
      <c r="B601" s="81"/>
      <c r="C601" s="81"/>
      <c r="D601" s="81"/>
      <c r="E601" s="81"/>
    </row>
    <row r="602">
      <c r="A602" s="81"/>
      <c r="B602" s="81"/>
      <c r="C602" s="81"/>
      <c r="D602" s="81"/>
      <c r="E602" s="81"/>
    </row>
    <row r="603">
      <c r="A603" s="81"/>
      <c r="B603" s="81"/>
      <c r="C603" s="81"/>
      <c r="D603" s="81"/>
      <c r="E603" s="81"/>
    </row>
    <row r="604">
      <c r="A604" s="81"/>
      <c r="B604" s="81"/>
      <c r="C604" s="81"/>
      <c r="D604" s="81"/>
      <c r="E604" s="81"/>
    </row>
    <row r="605">
      <c r="A605" s="81"/>
      <c r="B605" s="81"/>
      <c r="C605" s="81"/>
      <c r="D605" s="81"/>
      <c r="E605" s="81"/>
    </row>
    <row r="606">
      <c r="A606" s="81"/>
      <c r="B606" s="81"/>
      <c r="C606" s="81"/>
      <c r="D606" s="81"/>
      <c r="E606" s="81"/>
    </row>
    <row r="607">
      <c r="A607" s="81"/>
      <c r="B607" s="81"/>
      <c r="C607" s="81"/>
      <c r="D607" s="81"/>
      <c r="E607" s="81"/>
    </row>
    <row r="608">
      <c r="A608" s="81"/>
      <c r="B608" s="81"/>
      <c r="C608" s="81"/>
      <c r="D608" s="81"/>
      <c r="E608" s="81"/>
    </row>
    <row r="609">
      <c r="A609" s="81"/>
      <c r="B609" s="81"/>
      <c r="C609" s="81"/>
      <c r="D609" s="81"/>
      <c r="E609" s="81"/>
    </row>
    <row r="610">
      <c r="A610" s="81"/>
      <c r="B610" s="81"/>
      <c r="C610" s="81"/>
      <c r="D610" s="81"/>
      <c r="E610" s="81"/>
    </row>
    <row r="611">
      <c r="A611" s="81"/>
      <c r="B611" s="81"/>
      <c r="C611" s="81"/>
      <c r="D611" s="81"/>
      <c r="E611" s="81"/>
    </row>
    <row r="612">
      <c r="A612" s="81"/>
      <c r="B612" s="81"/>
      <c r="C612" s="81"/>
      <c r="D612" s="81"/>
      <c r="E612" s="81"/>
    </row>
    <row r="613">
      <c r="A613" s="81"/>
      <c r="B613" s="81"/>
      <c r="C613" s="81"/>
      <c r="D613" s="81"/>
      <c r="E613" s="81"/>
    </row>
    <row r="614">
      <c r="A614" s="81"/>
      <c r="B614" s="81"/>
      <c r="C614" s="81"/>
      <c r="D614" s="81"/>
      <c r="E614" s="81"/>
    </row>
    <row r="615">
      <c r="A615" s="81"/>
      <c r="B615" s="81"/>
      <c r="C615" s="81"/>
      <c r="D615" s="81"/>
      <c r="E615" s="81"/>
    </row>
    <row r="616">
      <c r="A616" s="81"/>
      <c r="B616" s="81"/>
      <c r="C616" s="81"/>
      <c r="D616" s="81"/>
      <c r="E616" s="81"/>
    </row>
    <row r="617">
      <c r="A617" s="81"/>
      <c r="B617" s="81"/>
      <c r="C617" s="81"/>
      <c r="D617" s="81"/>
      <c r="E617" s="81"/>
    </row>
    <row r="618">
      <c r="A618" s="81"/>
      <c r="B618" s="81"/>
      <c r="C618" s="81"/>
      <c r="D618" s="81"/>
      <c r="E618" s="81"/>
    </row>
    <row r="619">
      <c r="A619" s="81"/>
      <c r="B619" s="81"/>
      <c r="C619" s="81"/>
      <c r="D619" s="81"/>
      <c r="E619" s="81"/>
    </row>
    <row r="620">
      <c r="A620" s="81"/>
      <c r="B620" s="81"/>
      <c r="C620" s="81"/>
      <c r="D620" s="81"/>
      <c r="E620" s="81"/>
    </row>
    <row r="621">
      <c r="A621" s="81"/>
      <c r="B621" s="81"/>
      <c r="C621" s="81"/>
      <c r="D621" s="81"/>
      <c r="E621" s="81"/>
    </row>
    <row r="622">
      <c r="A622" s="81"/>
      <c r="B622" s="81"/>
      <c r="C622" s="81"/>
      <c r="D622" s="81"/>
      <c r="E622" s="81"/>
    </row>
    <row r="623">
      <c r="A623" s="81"/>
      <c r="B623" s="81"/>
      <c r="C623" s="81"/>
      <c r="D623" s="81"/>
      <c r="E623" s="81"/>
    </row>
    <row r="624">
      <c r="A624" s="81"/>
      <c r="B624" s="81"/>
      <c r="C624" s="81"/>
      <c r="D624" s="81"/>
      <c r="E624" s="81"/>
    </row>
    <row r="625">
      <c r="A625" s="81"/>
      <c r="B625" s="81"/>
      <c r="C625" s="81"/>
      <c r="D625" s="81"/>
      <c r="E625" s="81"/>
    </row>
    <row r="626">
      <c r="A626" s="81"/>
      <c r="B626" s="81"/>
      <c r="C626" s="81"/>
      <c r="D626" s="81"/>
      <c r="E626" s="81"/>
    </row>
    <row r="627">
      <c r="A627" s="81"/>
      <c r="B627" s="81"/>
      <c r="C627" s="81"/>
      <c r="D627" s="81"/>
      <c r="E627" s="81"/>
    </row>
    <row r="628">
      <c r="A628" s="81"/>
      <c r="B628" s="81"/>
      <c r="C628" s="81"/>
      <c r="D628" s="81"/>
      <c r="E628" s="81"/>
    </row>
    <row r="629">
      <c r="A629" s="81"/>
      <c r="B629" s="81"/>
      <c r="C629" s="81"/>
      <c r="D629" s="81"/>
      <c r="E629" s="81"/>
    </row>
    <row r="630">
      <c r="A630" s="81"/>
      <c r="B630" s="81"/>
      <c r="C630" s="81"/>
      <c r="D630" s="81"/>
      <c r="E630" s="81"/>
    </row>
    <row r="631">
      <c r="A631" s="81"/>
      <c r="B631" s="81"/>
      <c r="C631" s="81"/>
      <c r="D631" s="81"/>
      <c r="E631" s="81"/>
    </row>
    <row r="632">
      <c r="A632" s="81"/>
      <c r="B632" s="81"/>
      <c r="C632" s="81"/>
      <c r="D632" s="81"/>
      <c r="E632" s="81"/>
    </row>
    <row r="633">
      <c r="A633" s="81"/>
      <c r="B633" s="81"/>
      <c r="C633" s="81"/>
      <c r="D633" s="81"/>
      <c r="E633" s="81"/>
    </row>
    <row r="634">
      <c r="A634" s="81"/>
      <c r="B634" s="81"/>
      <c r="C634" s="81"/>
      <c r="D634" s="81"/>
      <c r="E634" s="81"/>
    </row>
    <row r="635">
      <c r="A635" s="81"/>
      <c r="B635" s="81"/>
      <c r="C635" s="81"/>
      <c r="D635" s="81"/>
      <c r="E635" s="81"/>
    </row>
    <row r="636">
      <c r="A636" s="81"/>
      <c r="B636" s="81"/>
      <c r="C636" s="81"/>
      <c r="D636" s="81"/>
      <c r="E636" s="81"/>
    </row>
    <row r="637">
      <c r="A637" s="81"/>
      <c r="B637" s="81"/>
      <c r="C637" s="81"/>
      <c r="D637" s="81"/>
      <c r="E637" s="81"/>
    </row>
    <row r="638">
      <c r="A638" s="81"/>
      <c r="B638" s="81"/>
      <c r="C638" s="81"/>
      <c r="D638" s="81"/>
      <c r="E638" s="81"/>
    </row>
    <row r="639">
      <c r="A639" s="81"/>
      <c r="B639" s="81"/>
      <c r="C639" s="81"/>
      <c r="D639" s="81"/>
      <c r="E639" s="81"/>
    </row>
    <row r="640">
      <c r="A640" s="81"/>
      <c r="B640" s="81"/>
      <c r="C640" s="81"/>
      <c r="D640" s="81"/>
      <c r="E640" s="81"/>
    </row>
    <row r="641">
      <c r="A641" s="81"/>
      <c r="B641" s="81"/>
      <c r="C641" s="81"/>
      <c r="D641" s="81"/>
      <c r="E641" s="81"/>
    </row>
    <row r="642">
      <c r="A642" s="81"/>
      <c r="B642" s="81"/>
      <c r="C642" s="81"/>
      <c r="D642" s="81"/>
      <c r="E642" s="81"/>
    </row>
    <row r="643">
      <c r="A643" s="81"/>
      <c r="B643" s="81"/>
      <c r="C643" s="81"/>
      <c r="D643" s="81"/>
      <c r="E643" s="81"/>
    </row>
    <row r="644">
      <c r="A644" s="81"/>
      <c r="B644" s="81"/>
      <c r="C644" s="81"/>
      <c r="D644" s="81"/>
      <c r="E644" s="81"/>
    </row>
    <row r="645">
      <c r="A645" s="81"/>
      <c r="B645" s="81"/>
      <c r="C645" s="81"/>
      <c r="D645" s="81"/>
      <c r="E645" s="81"/>
    </row>
    <row r="646">
      <c r="A646" s="81"/>
      <c r="B646" s="81"/>
      <c r="C646" s="81"/>
      <c r="D646" s="81"/>
      <c r="E646" s="81"/>
    </row>
    <row r="647">
      <c r="A647" s="81"/>
      <c r="B647" s="81"/>
      <c r="C647" s="81"/>
      <c r="D647" s="81"/>
      <c r="E647" s="81"/>
    </row>
    <row r="648">
      <c r="A648" s="81"/>
      <c r="B648" s="81"/>
      <c r="C648" s="81"/>
      <c r="D648" s="81"/>
      <c r="E648" s="81"/>
    </row>
    <row r="649">
      <c r="A649" s="81"/>
      <c r="B649" s="81"/>
      <c r="C649" s="81"/>
      <c r="D649" s="81"/>
      <c r="E649" s="81"/>
    </row>
    <row r="650">
      <c r="A650" s="81"/>
      <c r="B650" s="81"/>
      <c r="C650" s="81"/>
      <c r="D650" s="81"/>
      <c r="E650" s="81"/>
    </row>
    <row r="651">
      <c r="A651" s="81"/>
      <c r="B651" s="81"/>
      <c r="C651" s="81"/>
      <c r="D651" s="81"/>
      <c r="E651" s="81"/>
    </row>
    <row r="652">
      <c r="A652" s="81"/>
      <c r="B652" s="81"/>
      <c r="C652" s="81"/>
      <c r="D652" s="81"/>
      <c r="E652" s="81"/>
    </row>
    <row r="653">
      <c r="A653" s="81"/>
      <c r="B653" s="81"/>
      <c r="C653" s="81"/>
      <c r="D653" s="81"/>
      <c r="E653" s="81"/>
    </row>
    <row r="654">
      <c r="A654" s="81"/>
      <c r="B654" s="81"/>
      <c r="C654" s="81"/>
      <c r="D654" s="81"/>
      <c r="E654" s="81"/>
    </row>
    <row r="655">
      <c r="A655" s="81"/>
      <c r="B655" s="81"/>
      <c r="C655" s="81"/>
      <c r="D655" s="81"/>
      <c r="E655" s="81"/>
    </row>
    <row r="656">
      <c r="A656" s="81"/>
      <c r="B656" s="81"/>
      <c r="C656" s="81"/>
      <c r="D656" s="81"/>
      <c r="E656" s="81"/>
    </row>
    <row r="657">
      <c r="A657" s="81"/>
      <c r="B657" s="81"/>
      <c r="C657" s="81"/>
      <c r="D657" s="81"/>
      <c r="E657" s="81"/>
    </row>
    <row r="658">
      <c r="A658" s="81"/>
      <c r="B658" s="81"/>
      <c r="C658" s="81"/>
      <c r="D658" s="81"/>
      <c r="E658" s="81"/>
    </row>
    <row r="659">
      <c r="A659" s="81"/>
      <c r="B659" s="81"/>
      <c r="C659" s="81"/>
      <c r="D659" s="81"/>
      <c r="E659" s="81"/>
    </row>
    <row r="660">
      <c r="A660" s="81"/>
      <c r="B660" s="81"/>
      <c r="C660" s="81"/>
      <c r="D660" s="81"/>
      <c r="E660" s="81"/>
    </row>
    <row r="661">
      <c r="A661" s="81"/>
      <c r="B661" s="81"/>
      <c r="C661" s="81"/>
      <c r="D661" s="81"/>
      <c r="E661" s="81"/>
    </row>
    <row r="662">
      <c r="A662" s="81"/>
      <c r="B662" s="81"/>
      <c r="C662" s="81"/>
      <c r="D662" s="81"/>
      <c r="E662" s="81"/>
    </row>
    <row r="663">
      <c r="A663" s="81"/>
      <c r="B663" s="81"/>
      <c r="C663" s="81"/>
      <c r="D663" s="81"/>
      <c r="E663" s="81"/>
    </row>
    <row r="664">
      <c r="A664" s="81"/>
      <c r="B664" s="81"/>
      <c r="C664" s="81"/>
      <c r="D664" s="81"/>
      <c r="E664" s="81"/>
    </row>
    <row r="665">
      <c r="A665" s="81"/>
      <c r="B665" s="81"/>
      <c r="C665" s="81"/>
      <c r="D665" s="81"/>
      <c r="E665" s="81"/>
    </row>
    <row r="666">
      <c r="A666" s="81"/>
      <c r="B666" s="81"/>
      <c r="C666" s="81"/>
      <c r="D666" s="81"/>
      <c r="E666" s="81"/>
    </row>
    <row r="667">
      <c r="A667" s="81"/>
      <c r="B667" s="81"/>
      <c r="C667" s="81"/>
      <c r="D667" s="81"/>
      <c r="E667" s="81"/>
    </row>
    <row r="668">
      <c r="A668" s="81"/>
      <c r="B668" s="81"/>
      <c r="C668" s="81"/>
      <c r="D668" s="81"/>
      <c r="E668" s="81"/>
    </row>
    <row r="669">
      <c r="A669" s="81"/>
      <c r="B669" s="81"/>
      <c r="C669" s="81"/>
      <c r="D669" s="81"/>
      <c r="E669" s="81"/>
    </row>
    <row r="670">
      <c r="A670" s="81"/>
      <c r="B670" s="81"/>
      <c r="C670" s="81"/>
      <c r="D670" s="81"/>
      <c r="E670" s="81"/>
    </row>
    <row r="671">
      <c r="A671" s="81"/>
      <c r="B671" s="81"/>
      <c r="C671" s="81"/>
      <c r="D671" s="81"/>
      <c r="E671" s="81"/>
    </row>
    <row r="672">
      <c r="A672" s="81"/>
      <c r="B672" s="81"/>
      <c r="C672" s="81"/>
      <c r="D672" s="81"/>
      <c r="E672" s="81"/>
    </row>
    <row r="673">
      <c r="A673" s="81"/>
      <c r="B673" s="81"/>
      <c r="C673" s="81"/>
      <c r="D673" s="81"/>
      <c r="E673" s="81"/>
    </row>
    <row r="674">
      <c r="A674" s="81"/>
      <c r="B674" s="81"/>
      <c r="C674" s="81"/>
      <c r="D674" s="81"/>
      <c r="E674" s="81"/>
    </row>
    <row r="675">
      <c r="A675" s="81"/>
      <c r="B675" s="81"/>
      <c r="C675" s="81"/>
      <c r="D675" s="81"/>
      <c r="E675" s="81"/>
    </row>
    <row r="676">
      <c r="A676" s="81"/>
      <c r="B676" s="81"/>
      <c r="C676" s="81"/>
      <c r="D676" s="81"/>
      <c r="E676" s="81"/>
    </row>
    <row r="677">
      <c r="A677" s="81"/>
      <c r="B677" s="81"/>
      <c r="C677" s="81"/>
      <c r="D677" s="81"/>
      <c r="E677" s="81"/>
    </row>
    <row r="678">
      <c r="A678" s="81"/>
      <c r="B678" s="81"/>
      <c r="C678" s="81"/>
      <c r="D678" s="81"/>
      <c r="E678" s="81"/>
    </row>
    <row r="679">
      <c r="A679" s="81"/>
      <c r="B679" s="81"/>
      <c r="C679" s="81"/>
      <c r="D679" s="81"/>
      <c r="E679" s="81"/>
    </row>
    <row r="680">
      <c r="A680" s="81"/>
      <c r="B680" s="81"/>
      <c r="C680" s="81"/>
      <c r="D680" s="81"/>
      <c r="E680" s="81"/>
    </row>
    <row r="681">
      <c r="A681" s="81"/>
      <c r="B681" s="81"/>
      <c r="C681" s="81"/>
      <c r="D681" s="81"/>
      <c r="E681" s="81"/>
    </row>
    <row r="682">
      <c r="A682" s="81"/>
      <c r="B682" s="81"/>
      <c r="C682" s="81"/>
      <c r="D682" s="81"/>
      <c r="E682" s="81"/>
    </row>
    <row r="683">
      <c r="A683" s="81"/>
      <c r="B683" s="81"/>
      <c r="C683" s="81"/>
      <c r="D683" s="81"/>
      <c r="E683" s="81"/>
    </row>
    <row r="684">
      <c r="A684" s="81"/>
      <c r="B684" s="81"/>
      <c r="C684" s="81"/>
      <c r="D684" s="81"/>
      <c r="E684" s="81"/>
    </row>
    <row r="685">
      <c r="A685" s="81"/>
      <c r="B685" s="81"/>
      <c r="C685" s="81"/>
      <c r="D685" s="81"/>
      <c r="E685" s="81"/>
    </row>
    <row r="686">
      <c r="A686" s="81"/>
      <c r="B686" s="81"/>
      <c r="C686" s="81"/>
      <c r="D686" s="81"/>
      <c r="E686" s="81"/>
    </row>
    <row r="687">
      <c r="A687" s="81"/>
      <c r="B687" s="81"/>
      <c r="C687" s="81"/>
      <c r="D687" s="81"/>
      <c r="E687" s="81"/>
    </row>
    <row r="688">
      <c r="A688" s="81"/>
      <c r="B688" s="81"/>
      <c r="C688" s="81"/>
      <c r="D688" s="81"/>
      <c r="E688" s="81"/>
    </row>
    <row r="689">
      <c r="A689" s="81"/>
      <c r="B689" s="81"/>
      <c r="C689" s="81"/>
      <c r="D689" s="81"/>
      <c r="E689" s="81"/>
    </row>
    <row r="690">
      <c r="A690" s="81"/>
      <c r="B690" s="81"/>
      <c r="C690" s="81"/>
      <c r="D690" s="81"/>
      <c r="E690" s="81"/>
    </row>
    <row r="691">
      <c r="A691" s="81"/>
      <c r="B691" s="81"/>
      <c r="C691" s="81"/>
      <c r="D691" s="81"/>
      <c r="E691" s="81"/>
    </row>
    <row r="692">
      <c r="A692" s="81"/>
      <c r="B692" s="81"/>
      <c r="C692" s="81"/>
      <c r="D692" s="81"/>
      <c r="E692" s="81"/>
    </row>
    <row r="693">
      <c r="A693" s="81"/>
      <c r="B693" s="81"/>
      <c r="C693" s="81"/>
      <c r="D693" s="81"/>
      <c r="E693" s="81"/>
    </row>
    <row r="694">
      <c r="A694" s="81"/>
      <c r="B694" s="81"/>
      <c r="C694" s="81"/>
      <c r="D694" s="81"/>
      <c r="E694" s="81"/>
    </row>
    <row r="695">
      <c r="A695" s="81"/>
      <c r="B695" s="81"/>
      <c r="C695" s="81"/>
      <c r="D695" s="81"/>
      <c r="E695" s="81"/>
    </row>
    <row r="696">
      <c r="A696" s="81"/>
      <c r="B696" s="81"/>
      <c r="C696" s="81"/>
      <c r="D696" s="81"/>
      <c r="E696" s="81"/>
    </row>
    <row r="697">
      <c r="A697" s="81"/>
      <c r="B697" s="81"/>
      <c r="C697" s="81"/>
      <c r="D697" s="81"/>
      <c r="E697" s="81"/>
    </row>
    <row r="698">
      <c r="A698" s="81"/>
      <c r="B698" s="81"/>
      <c r="C698" s="81"/>
      <c r="D698" s="81"/>
      <c r="E698" s="81"/>
    </row>
    <row r="699">
      <c r="A699" s="81"/>
      <c r="B699" s="81"/>
      <c r="C699" s="81"/>
      <c r="D699" s="81"/>
      <c r="E699" s="81"/>
    </row>
    <row r="700">
      <c r="A700" s="81"/>
      <c r="B700" s="81"/>
      <c r="C700" s="81"/>
      <c r="D700" s="81"/>
      <c r="E700" s="81"/>
    </row>
    <row r="701">
      <c r="A701" s="81"/>
      <c r="B701" s="81"/>
      <c r="C701" s="81"/>
      <c r="D701" s="81"/>
      <c r="E701" s="81"/>
    </row>
    <row r="702">
      <c r="A702" s="81"/>
      <c r="B702" s="81"/>
      <c r="C702" s="81"/>
      <c r="D702" s="81"/>
      <c r="E702" s="81"/>
    </row>
    <row r="703">
      <c r="A703" s="81"/>
      <c r="B703" s="81"/>
      <c r="C703" s="81"/>
      <c r="D703" s="81"/>
      <c r="E703" s="81"/>
    </row>
    <row r="704">
      <c r="A704" s="81"/>
      <c r="B704" s="81"/>
      <c r="C704" s="81"/>
      <c r="D704" s="81"/>
      <c r="E704" s="81"/>
    </row>
    <row r="705">
      <c r="A705" s="81"/>
      <c r="B705" s="81"/>
      <c r="C705" s="81"/>
      <c r="D705" s="81"/>
      <c r="E705" s="81"/>
    </row>
    <row r="706">
      <c r="A706" s="81"/>
      <c r="B706" s="81"/>
      <c r="C706" s="81"/>
      <c r="D706" s="81"/>
      <c r="E706" s="81"/>
    </row>
    <row r="707">
      <c r="A707" s="81"/>
      <c r="B707" s="81"/>
      <c r="C707" s="81"/>
      <c r="D707" s="81"/>
      <c r="E707" s="81"/>
    </row>
    <row r="708">
      <c r="A708" s="81"/>
      <c r="B708" s="81"/>
      <c r="C708" s="81"/>
      <c r="D708" s="81"/>
      <c r="E708" s="81"/>
    </row>
    <row r="709">
      <c r="A709" s="81"/>
      <c r="B709" s="81"/>
      <c r="C709" s="81"/>
      <c r="D709" s="81"/>
      <c r="E709" s="81"/>
    </row>
    <row r="710">
      <c r="A710" s="81"/>
      <c r="B710" s="81"/>
      <c r="C710" s="81"/>
      <c r="D710" s="81"/>
      <c r="E710" s="81"/>
    </row>
    <row r="711">
      <c r="A711" s="81"/>
      <c r="B711" s="81"/>
      <c r="C711" s="81"/>
      <c r="D711" s="81"/>
      <c r="E711" s="81"/>
    </row>
    <row r="712">
      <c r="A712" s="81"/>
      <c r="B712" s="81"/>
      <c r="C712" s="81"/>
      <c r="D712" s="81"/>
      <c r="E712" s="81"/>
    </row>
    <row r="713">
      <c r="A713" s="81"/>
      <c r="B713" s="81"/>
      <c r="C713" s="81"/>
      <c r="D713" s="81"/>
      <c r="E713" s="81"/>
    </row>
    <row r="714">
      <c r="A714" s="81"/>
      <c r="B714" s="81"/>
      <c r="C714" s="81"/>
      <c r="D714" s="81"/>
      <c r="E714" s="81"/>
    </row>
    <row r="715">
      <c r="A715" s="81"/>
      <c r="B715" s="81"/>
      <c r="C715" s="81"/>
      <c r="D715" s="81"/>
      <c r="E715" s="81"/>
    </row>
    <row r="716">
      <c r="A716" s="81"/>
      <c r="B716" s="81"/>
      <c r="C716" s="81"/>
      <c r="D716" s="81"/>
      <c r="E716" s="81"/>
    </row>
    <row r="717">
      <c r="A717" s="81"/>
      <c r="B717" s="81"/>
      <c r="C717" s="81"/>
      <c r="D717" s="81"/>
      <c r="E717" s="81"/>
    </row>
    <row r="718">
      <c r="A718" s="81"/>
      <c r="B718" s="81"/>
      <c r="C718" s="81"/>
      <c r="D718" s="81"/>
      <c r="E718" s="81"/>
    </row>
    <row r="719">
      <c r="A719" s="81"/>
      <c r="B719" s="81"/>
      <c r="C719" s="81"/>
      <c r="D719" s="81"/>
      <c r="E719" s="81"/>
    </row>
    <row r="720">
      <c r="A720" s="81"/>
      <c r="B720" s="81"/>
      <c r="C720" s="81"/>
      <c r="D720" s="81"/>
      <c r="E720" s="81"/>
    </row>
    <row r="721">
      <c r="A721" s="81"/>
      <c r="B721" s="81"/>
      <c r="C721" s="81"/>
      <c r="D721" s="81"/>
      <c r="E721" s="81"/>
    </row>
    <row r="722">
      <c r="A722" s="81"/>
      <c r="B722" s="81"/>
      <c r="C722" s="81"/>
      <c r="D722" s="81"/>
      <c r="E722" s="81"/>
    </row>
    <row r="723">
      <c r="A723" s="81"/>
      <c r="B723" s="81"/>
      <c r="C723" s="81"/>
      <c r="D723" s="81"/>
      <c r="E723" s="81"/>
    </row>
    <row r="724">
      <c r="A724" s="81"/>
      <c r="B724" s="81"/>
      <c r="C724" s="81"/>
      <c r="D724" s="81"/>
      <c r="E724" s="81"/>
    </row>
    <row r="725">
      <c r="A725" s="81"/>
      <c r="B725" s="81"/>
      <c r="C725" s="81"/>
      <c r="D725" s="81"/>
      <c r="E725" s="81"/>
    </row>
    <row r="726">
      <c r="A726" s="81"/>
      <c r="B726" s="81"/>
      <c r="C726" s="81"/>
      <c r="D726" s="81"/>
      <c r="E726" s="81"/>
    </row>
    <row r="727">
      <c r="A727" s="81"/>
      <c r="B727" s="81"/>
      <c r="C727" s="81"/>
      <c r="D727" s="81"/>
      <c r="E727" s="81"/>
    </row>
    <row r="728">
      <c r="A728" s="81"/>
      <c r="B728" s="81"/>
      <c r="C728" s="81"/>
      <c r="D728" s="81"/>
      <c r="E728" s="81"/>
    </row>
    <row r="729">
      <c r="A729" s="81"/>
      <c r="B729" s="81"/>
      <c r="C729" s="81"/>
      <c r="D729" s="81"/>
      <c r="E729" s="81"/>
    </row>
    <row r="730">
      <c r="A730" s="81"/>
      <c r="B730" s="81"/>
      <c r="C730" s="81"/>
      <c r="D730" s="81"/>
      <c r="E730" s="81"/>
    </row>
    <row r="731">
      <c r="A731" s="81"/>
      <c r="B731" s="81"/>
      <c r="C731" s="81"/>
      <c r="D731" s="81"/>
      <c r="E731" s="81"/>
    </row>
    <row r="732">
      <c r="A732" s="81"/>
      <c r="B732" s="81"/>
      <c r="C732" s="81"/>
      <c r="D732" s="81"/>
      <c r="E732" s="81"/>
    </row>
    <row r="733">
      <c r="A733" s="81"/>
      <c r="B733" s="81"/>
      <c r="C733" s="81"/>
      <c r="D733" s="81"/>
      <c r="E733" s="81"/>
    </row>
    <row r="734">
      <c r="A734" s="81"/>
      <c r="B734" s="81"/>
      <c r="C734" s="81"/>
      <c r="D734" s="81"/>
      <c r="E734" s="81"/>
    </row>
    <row r="735">
      <c r="A735" s="81"/>
      <c r="B735" s="81"/>
      <c r="C735" s="81"/>
      <c r="D735" s="81"/>
      <c r="E735" s="81"/>
    </row>
    <row r="736">
      <c r="A736" s="81"/>
      <c r="B736" s="81"/>
      <c r="C736" s="81"/>
      <c r="D736" s="81"/>
      <c r="E736" s="81"/>
    </row>
    <row r="737">
      <c r="A737" s="81"/>
      <c r="B737" s="81"/>
      <c r="C737" s="81"/>
      <c r="D737" s="81"/>
      <c r="E737" s="81"/>
    </row>
    <row r="738">
      <c r="A738" s="81"/>
      <c r="B738" s="81"/>
      <c r="C738" s="81"/>
      <c r="D738" s="81"/>
      <c r="E738" s="81"/>
    </row>
    <row r="739">
      <c r="A739" s="81"/>
      <c r="B739" s="81"/>
      <c r="C739" s="81"/>
      <c r="D739" s="81"/>
      <c r="E739" s="81"/>
    </row>
    <row r="740">
      <c r="A740" s="81"/>
      <c r="B740" s="81"/>
      <c r="C740" s="81"/>
      <c r="D740" s="81"/>
      <c r="E740" s="81"/>
    </row>
    <row r="741">
      <c r="A741" s="81"/>
      <c r="B741" s="81"/>
      <c r="C741" s="81"/>
      <c r="D741" s="81"/>
      <c r="E741" s="81"/>
    </row>
    <row r="742">
      <c r="A742" s="81"/>
      <c r="B742" s="81"/>
      <c r="C742" s="81"/>
      <c r="D742" s="81"/>
      <c r="E742" s="81"/>
    </row>
    <row r="743">
      <c r="A743" s="81"/>
      <c r="B743" s="81"/>
      <c r="C743" s="81"/>
      <c r="D743" s="81"/>
      <c r="E743" s="81"/>
    </row>
    <row r="744">
      <c r="A744" s="81"/>
      <c r="B744" s="81"/>
      <c r="C744" s="81"/>
      <c r="D744" s="81"/>
      <c r="E744" s="81"/>
    </row>
    <row r="745">
      <c r="A745" s="81"/>
      <c r="B745" s="81"/>
      <c r="C745" s="81"/>
      <c r="D745" s="81"/>
      <c r="E745" s="81"/>
    </row>
    <row r="746">
      <c r="A746" s="81"/>
      <c r="B746" s="81"/>
      <c r="C746" s="81"/>
      <c r="D746" s="81"/>
      <c r="E746" s="81"/>
    </row>
    <row r="747">
      <c r="A747" s="81"/>
      <c r="B747" s="81"/>
      <c r="C747" s="81"/>
      <c r="D747" s="81"/>
      <c r="E747" s="81"/>
    </row>
    <row r="748">
      <c r="A748" s="81"/>
      <c r="B748" s="81"/>
      <c r="C748" s="81"/>
      <c r="D748" s="81"/>
      <c r="E748" s="81"/>
    </row>
    <row r="749">
      <c r="A749" s="81"/>
      <c r="B749" s="81"/>
      <c r="C749" s="81"/>
      <c r="D749" s="81"/>
      <c r="E749" s="81"/>
    </row>
    <row r="750">
      <c r="A750" s="81"/>
      <c r="B750" s="81"/>
      <c r="C750" s="81"/>
      <c r="D750" s="81"/>
      <c r="E750" s="81"/>
    </row>
    <row r="751">
      <c r="A751" s="81"/>
      <c r="B751" s="81"/>
      <c r="C751" s="81"/>
      <c r="D751" s="81"/>
      <c r="E751" s="81"/>
    </row>
    <row r="752">
      <c r="A752" s="81"/>
      <c r="B752" s="81"/>
      <c r="C752" s="81"/>
      <c r="D752" s="81"/>
      <c r="E752" s="81"/>
    </row>
    <row r="753">
      <c r="A753" s="81"/>
      <c r="B753" s="81"/>
      <c r="C753" s="81"/>
      <c r="D753" s="81"/>
      <c r="E753" s="81"/>
    </row>
    <row r="754">
      <c r="A754" s="81"/>
      <c r="B754" s="81"/>
      <c r="C754" s="81"/>
      <c r="D754" s="81"/>
      <c r="E754" s="81"/>
    </row>
    <row r="755">
      <c r="A755" s="81"/>
      <c r="B755" s="81"/>
      <c r="C755" s="81"/>
      <c r="D755" s="81"/>
      <c r="E755" s="81"/>
    </row>
    <row r="756">
      <c r="A756" s="81"/>
      <c r="B756" s="81"/>
      <c r="C756" s="81"/>
      <c r="D756" s="81"/>
      <c r="E756" s="81"/>
    </row>
    <row r="757">
      <c r="A757" s="81"/>
      <c r="B757" s="81"/>
      <c r="C757" s="81"/>
      <c r="D757" s="81"/>
      <c r="E757" s="81"/>
    </row>
    <row r="758">
      <c r="A758" s="81"/>
      <c r="B758" s="81"/>
      <c r="C758" s="81"/>
      <c r="D758" s="81"/>
      <c r="E758" s="81"/>
    </row>
    <row r="759">
      <c r="A759" s="81"/>
      <c r="B759" s="81"/>
      <c r="C759" s="81"/>
      <c r="D759" s="81"/>
      <c r="E759" s="81"/>
    </row>
    <row r="760">
      <c r="A760" s="81"/>
      <c r="B760" s="81"/>
      <c r="C760" s="81"/>
      <c r="D760" s="81"/>
      <c r="E760" s="81"/>
    </row>
    <row r="761">
      <c r="A761" s="81"/>
      <c r="B761" s="81"/>
      <c r="C761" s="81"/>
      <c r="D761" s="81"/>
      <c r="E761" s="81"/>
    </row>
    <row r="762">
      <c r="A762" s="81"/>
      <c r="B762" s="81"/>
      <c r="C762" s="81"/>
      <c r="D762" s="81"/>
      <c r="E762" s="81"/>
    </row>
    <row r="763">
      <c r="A763" s="81"/>
      <c r="B763" s="81"/>
      <c r="C763" s="81"/>
      <c r="D763" s="81"/>
      <c r="E763" s="81"/>
    </row>
    <row r="764">
      <c r="A764" s="81"/>
      <c r="B764" s="81"/>
      <c r="C764" s="81"/>
      <c r="D764" s="81"/>
      <c r="E764" s="81"/>
    </row>
    <row r="765">
      <c r="A765" s="81"/>
      <c r="B765" s="81"/>
      <c r="C765" s="81"/>
      <c r="D765" s="81"/>
      <c r="E765" s="81"/>
    </row>
    <row r="766">
      <c r="A766" s="81"/>
      <c r="B766" s="81"/>
      <c r="C766" s="81"/>
      <c r="D766" s="81"/>
      <c r="E766" s="81"/>
    </row>
    <row r="767">
      <c r="A767" s="81"/>
      <c r="B767" s="81"/>
      <c r="C767" s="81"/>
      <c r="D767" s="81"/>
      <c r="E767" s="81"/>
    </row>
    <row r="768">
      <c r="A768" s="81"/>
      <c r="B768" s="81"/>
      <c r="C768" s="81"/>
      <c r="D768" s="81"/>
      <c r="E768" s="81"/>
    </row>
    <row r="769">
      <c r="A769" s="81"/>
      <c r="B769" s="81"/>
      <c r="C769" s="81"/>
      <c r="D769" s="81"/>
      <c r="E769" s="81"/>
    </row>
    <row r="770">
      <c r="A770" s="81"/>
      <c r="B770" s="81"/>
      <c r="C770" s="81"/>
      <c r="D770" s="81"/>
      <c r="E770" s="81"/>
    </row>
    <row r="771">
      <c r="A771" s="81"/>
      <c r="B771" s="81"/>
      <c r="C771" s="81"/>
      <c r="D771" s="81"/>
      <c r="E771" s="81"/>
    </row>
    <row r="772">
      <c r="A772" s="81"/>
      <c r="B772" s="81"/>
      <c r="C772" s="81"/>
      <c r="D772" s="81"/>
      <c r="E772" s="81"/>
    </row>
    <row r="773">
      <c r="A773" s="81"/>
      <c r="B773" s="81"/>
      <c r="C773" s="81"/>
      <c r="D773" s="81"/>
      <c r="E773" s="81"/>
    </row>
    <row r="774">
      <c r="A774" s="81"/>
      <c r="B774" s="81"/>
      <c r="C774" s="81"/>
      <c r="D774" s="81"/>
      <c r="E774" s="81"/>
    </row>
    <row r="775">
      <c r="A775" s="81"/>
      <c r="B775" s="81"/>
      <c r="C775" s="81"/>
      <c r="D775" s="81"/>
      <c r="E775" s="81"/>
    </row>
    <row r="776">
      <c r="A776" s="81"/>
      <c r="B776" s="81"/>
      <c r="C776" s="81"/>
      <c r="D776" s="81"/>
      <c r="E776" s="81"/>
    </row>
    <row r="777">
      <c r="A777" s="81"/>
      <c r="B777" s="81"/>
      <c r="C777" s="81"/>
      <c r="D777" s="81"/>
      <c r="E777" s="81"/>
    </row>
    <row r="778">
      <c r="A778" s="81"/>
      <c r="B778" s="81"/>
      <c r="C778" s="81"/>
      <c r="D778" s="81"/>
      <c r="E778" s="81"/>
    </row>
    <row r="779">
      <c r="A779" s="81"/>
      <c r="B779" s="81"/>
      <c r="C779" s="81"/>
      <c r="D779" s="81"/>
      <c r="E779" s="81"/>
    </row>
    <row r="780">
      <c r="A780" s="81"/>
      <c r="B780" s="81"/>
      <c r="C780" s="81"/>
      <c r="D780" s="81"/>
      <c r="E780" s="81"/>
    </row>
    <row r="781">
      <c r="A781" s="81"/>
      <c r="B781" s="81"/>
      <c r="C781" s="81"/>
      <c r="D781" s="81"/>
      <c r="E781" s="81"/>
    </row>
    <row r="782">
      <c r="A782" s="81"/>
      <c r="B782" s="81"/>
      <c r="C782" s="81"/>
      <c r="D782" s="81"/>
      <c r="E782" s="81"/>
    </row>
    <row r="783">
      <c r="A783" s="81"/>
      <c r="B783" s="81"/>
      <c r="C783" s="81"/>
      <c r="D783" s="81"/>
      <c r="E783" s="81"/>
    </row>
    <row r="784">
      <c r="A784" s="81"/>
      <c r="B784" s="81"/>
      <c r="C784" s="81"/>
      <c r="D784" s="81"/>
      <c r="E784" s="81"/>
    </row>
    <row r="785">
      <c r="A785" s="81"/>
      <c r="B785" s="81"/>
      <c r="C785" s="81"/>
      <c r="D785" s="81"/>
      <c r="E785" s="81"/>
    </row>
    <row r="786">
      <c r="A786" s="81"/>
      <c r="B786" s="81"/>
      <c r="C786" s="81"/>
      <c r="D786" s="81"/>
      <c r="E786" s="81"/>
    </row>
    <row r="787">
      <c r="A787" s="81"/>
      <c r="B787" s="81"/>
      <c r="C787" s="81"/>
      <c r="D787" s="81"/>
      <c r="E787" s="81"/>
    </row>
    <row r="788">
      <c r="A788" s="81"/>
      <c r="B788" s="81"/>
      <c r="C788" s="81"/>
      <c r="D788" s="81"/>
      <c r="E788" s="81"/>
    </row>
    <row r="789">
      <c r="A789" s="81"/>
      <c r="B789" s="81"/>
      <c r="C789" s="81"/>
      <c r="D789" s="81"/>
      <c r="E789" s="81"/>
    </row>
    <row r="790">
      <c r="A790" s="81"/>
      <c r="B790" s="81"/>
      <c r="C790" s="81"/>
      <c r="D790" s="81"/>
      <c r="E790" s="81"/>
    </row>
    <row r="791">
      <c r="A791" s="81"/>
      <c r="B791" s="81"/>
      <c r="C791" s="81"/>
      <c r="D791" s="81"/>
      <c r="E791" s="81"/>
    </row>
    <row r="792">
      <c r="A792" s="81"/>
      <c r="B792" s="81"/>
      <c r="C792" s="81"/>
      <c r="D792" s="81"/>
      <c r="E792" s="81"/>
    </row>
    <row r="793">
      <c r="A793" s="81"/>
      <c r="B793" s="81"/>
      <c r="C793" s="81"/>
      <c r="D793" s="81"/>
      <c r="E793" s="81"/>
    </row>
    <row r="794">
      <c r="A794" s="81"/>
      <c r="B794" s="81"/>
      <c r="C794" s="81"/>
      <c r="D794" s="81"/>
      <c r="E794" s="81"/>
    </row>
    <row r="795">
      <c r="A795" s="81"/>
      <c r="B795" s="81"/>
      <c r="C795" s="81"/>
      <c r="D795" s="81"/>
      <c r="E795" s="81"/>
    </row>
    <row r="796">
      <c r="A796" s="81"/>
      <c r="B796" s="81"/>
      <c r="C796" s="81"/>
      <c r="D796" s="81"/>
      <c r="E796" s="81"/>
    </row>
    <row r="797">
      <c r="A797" s="81"/>
      <c r="B797" s="81"/>
      <c r="C797" s="81"/>
      <c r="D797" s="81"/>
      <c r="E797" s="81"/>
    </row>
    <row r="798">
      <c r="A798" s="81"/>
      <c r="B798" s="81"/>
      <c r="C798" s="81"/>
      <c r="D798" s="81"/>
      <c r="E798" s="81"/>
    </row>
    <row r="799">
      <c r="A799" s="81"/>
      <c r="B799" s="81"/>
      <c r="C799" s="81"/>
      <c r="D799" s="81"/>
      <c r="E799" s="81"/>
    </row>
    <row r="800">
      <c r="A800" s="81"/>
      <c r="B800" s="81"/>
      <c r="C800" s="81"/>
      <c r="D800" s="81"/>
      <c r="E800" s="81"/>
    </row>
    <row r="801">
      <c r="A801" s="81"/>
      <c r="B801" s="81"/>
      <c r="C801" s="81"/>
      <c r="D801" s="81"/>
      <c r="E801" s="81"/>
    </row>
    <row r="802">
      <c r="A802" s="81"/>
      <c r="B802" s="81"/>
      <c r="C802" s="81"/>
      <c r="D802" s="81"/>
      <c r="E802" s="81"/>
    </row>
    <row r="803">
      <c r="A803" s="81"/>
      <c r="B803" s="81"/>
      <c r="C803" s="81"/>
      <c r="D803" s="81"/>
      <c r="E803" s="81"/>
    </row>
    <row r="804">
      <c r="A804" s="81"/>
      <c r="B804" s="81"/>
      <c r="C804" s="81"/>
      <c r="D804" s="81"/>
      <c r="E804" s="81"/>
    </row>
    <row r="805">
      <c r="A805" s="81"/>
      <c r="B805" s="81"/>
      <c r="C805" s="81"/>
      <c r="D805" s="81"/>
      <c r="E805" s="81"/>
    </row>
    <row r="806">
      <c r="A806" s="81"/>
      <c r="B806" s="81"/>
      <c r="C806" s="81"/>
      <c r="D806" s="81"/>
      <c r="E806" s="81"/>
    </row>
    <row r="807">
      <c r="A807" s="81"/>
      <c r="B807" s="81"/>
      <c r="C807" s="81"/>
      <c r="D807" s="81"/>
      <c r="E807" s="81"/>
    </row>
    <row r="808">
      <c r="A808" s="81"/>
      <c r="B808" s="81"/>
      <c r="C808" s="81"/>
      <c r="D808" s="81"/>
      <c r="E808" s="81"/>
    </row>
    <row r="809">
      <c r="A809" s="81"/>
      <c r="B809" s="81"/>
      <c r="C809" s="81"/>
      <c r="D809" s="81"/>
      <c r="E809" s="81"/>
    </row>
    <row r="810">
      <c r="A810" s="81"/>
      <c r="B810" s="81"/>
      <c r="C810" s="81"/>
      <c r="D810" s="81"/>
      <c r="E810" s="81"/>
    </row>
    <row r="811">
      <c r="A811" s="81"/>
      <c r="B811" s="81"/>
      <c r="C811" s="81"/>
      <c r="D811" s="81"/>
      <c r="E811" s="81"/>
    </row>
    <row r="812">
      <c r="A812" s="81"/>
      <c r="B812" s="81"/>
      <c r="C812" s="81"/>
      <c r="D812" s="81"/>
      <c r="E812" s="81"/>
    </row>
    <row r="813">
      <c r="A813" s="81"/>
      <c r="B813" s="81"/>
      <c r="C813" s="81"/>
      <c r="D813" s="81"/>
      <c r="E813" s="81"/>
    </row>
    <row r="814">
      <c r="A814" s="81"/>
      <c r="B814" s="81"/>
      <c r="C814" s="81"/>
      <c r="D814" s="81"/>
      <c r="E814" s="81"/>
    </row>
    <row r="815">
      <c r="A815" s="81"/>
      <c r="B815" s="81"/>
      <c r="C815" s="81"/>
      <c r="D815" s="81"/>
      <c r="E815" s="81"/>
    </row>
    <row r="816">
      <c r="A816" s="81"/>
      <c r="B816" s="81"/>
      <c r="C816" s="81"/>
      <c r="D816" s="81"/>
      <c r="E816" s="81"/>
    </row>
    <row r="817">
      <c r="A817" s="81"/>
      <c r="B817" s="81"/>
      <c r="C817" s="81"/>
      <c r="D817" s="81"/>
      <c r="E817" s="81"/>
    </row>
    <row r="818">
      <c r="A818" s="81"/>
      <c r="B818" s="81"/>
      <c r="C818" s="81"/>
      <c r="D818" s="81"/>
      <c r="E818" s="81"/>
    </row>
    <row r="819">
      <c r="A819" s="81"/>
      <c r="B819" s="81"/>
      <c r="C819" s="81"/>
      <c r="D819" s="81"/>
      <c r="E819" s="81"/>
    </row>
    <row r="820">
      <c r="A820" s="81"/>
      <c r="B820" s="81"/>
      <c r="C820" s="81"/>
      <c r="D820" s="81"/>
      <c r="E820" s="81"/>
    </row>
    <row r="821">
      <c r="A821" s="81"/>
      <c r="B821" s="81"/>
      <c r="C821" s="81"/>
      <c r="D821" s="81"/>
      <c r="E821" s="81"/>
    </row>
    <row r="822">
      <c r="A822" s="81"/>
      <c r="B822" s="81"/>
      <c r="C822" s="81"/>
      <c r="D822" s="81"/>
      <c r="E822" s="81"/>
    </row>
    <row r="823">
      <c r="A823" s="81"/>
      <c r="B823" s="81"/>
      <c r="C823" s="81"/>
      <c r="D823" s="81"/>
      <c r="E823" s="81"/>
    </row>
    <row r="824">
      <c r="A824" s="81"/>
      <c r="B824" s="81"/>
      <c r="C824" s="81"/>
      <c r="D824" s="81"/>
      <c r="E824" s="81"/>
    </row>
    <row r="825">
      <c r="A825" s="81"/>
      <c r="B825" s="81"/>
      <c r="C825" s="81"/>
      <c r="D825" s="81"/>
      <c r="E825" s="81"/>
    </row>
    <row r="826">
      <c r="A826" s="81"/>
      <c r="B826" s="81"/>
      <c r="C826" s="81"/>
      <c r="D826" s="81"/>
      <c r="E826" s="81"/>
    </row>
    <row r="827">
      <c r="A827" s="81"/>
      <c r="B827" s="81"/>
      <c r="C827" s="81"/>
      <c r="D827" s="81"/>
      <c r="E827" s="81"/>
    </row>
    <row r="828">
      <c r="A828" s="81"/>
      <c r="B828" s="81"/>
      <c r="C828" s="81"/>
      <c r="D828" s="81"/>
      <c r="E828" s="81"/>
    </row>
    <row r="829">
      <c r="A829" s="81"/>
      <c r="B829" s="81"/>
      <c r="C829" s="81"/>
      <c r="D829" s="81"/>
      <c r="E829" s="81"/>
    </row>
    <row r="830">
      <c r="A830" s="81"/>
      <c r="B830" s="81"/>
      <c r="C830" s="81"/>
      <c r="D830" s="81"/>
      <c r="E830" s="81"/>
    </row>
    <row r="831">
      <c r="A831" s="81"/>
      <c r="B831" s="81"/>
      <c r="C831" s="81"/>
      <c r="D831" s="81"/>
      <c r="E831" s="81"/>
    </row>
    <row r="832">
      <c r="A832" s="81"/>
      <c r="B832" s="81"/>
      <c r="C832" s="81"/>
      <c r="D832" s="81"/>
      <c r="E832" s="81"/>
    </row>
    <row r="833">
      <c r="A833" s="81"/>
      <c r="B833" s="81"/>
      <c r="C833" s="81"/>
      <c r="D833" s="81"/>
      <c r="E833" s="81"/>
    </row>
    <row r="834">
      <c r="A834" s="81"/>
      <c r="B834" s="81"/>
      <c r="C834" s="81"/>
      <c r="D834" s="81"/>
      <c r="E834" s="81"/>
    </row>
    <row r="835">
      <c r="A835" s="81"/>
      <c r="B835" s="81"/>
      <c r="C835" s="81"/>
      <c r="D835" s="81"/>
      <c r="E835" s="81"/>
    </row>
    <row r="836">
      <c r="A836" s="81"/>
      <c r="B836" s="81"/>
      <c r="C836" s="81"/>
      <c r="D836" s="81"/>
      <c r="E836" s="81"/>
    </row>
    <row r="837">
      <c r="A837" s="81"/>
      <c r="B837" s="81"/>
      <c r="C837" s="81"/>
      <c r="D837" s="81"/>
      <c r="E837" s="81"/>
    </row>
    <row r="838">
      <c r="A838" s="81"/>
      <c r="B838" s="81"/>
      <c r="C838" s="81"/>
      <c r="D838" s="81"/>
      <c r="E838" s="81"/>
    </row>
    <row r="839">
      <c r="A839" s="81"/>
      <c r="B839" s="81"/>
      <c r="C839" s="81"/>
      <c r="D839" s="81"/>
      <c r="E839" s="81"/>
    </row>
    <row r="840">
      <c r="A840" s="81"/>
      <c r="B840" s="81"/>
      <c r="C840" s="81"/>
      <c r="D840" s="81"/>
      <c r="E840" s="81"/>
    </row>
    <row r="841">
      <c r="A841" s="81"/>
      <c r="B841" s="81"/>
      <c r="C841" s="81"/>
      <c r="D841" s="81"/>
      <c r="E841" s="81"/>
    </row>
    <row r="842">
      <c r="A842" s="81"/>
      <c r="B842" s="81"/>
      <c r="C842" s="81"/>
      <c r="D842" s="81"/>
      <c r="E842" s="81"/>
    </row>
    <row r="843">
      <c r="A843" s="81"/>
      <c r="B843" s="81"/>
      <c r="C843" s="81"/>
      <c r="D843" s="81"/>
      <c r="E843" s="81"/>
    </row>
    <row r="844">
      <c r="A844" s="81"/>
      <c r="B844" s="81"/>
      <c r="C844" s="81"/>
      <c r="D844" s="81"/>
      <c r="E844" s="81"/>
    </row>
    <row r="845">
      <c r="A845" s="81"/>
      <c r="B845" s="81"/>
      <c r="C845" s="81"/>
      <c r="D845" s="81"/>
      <c r="E845" s="81"/>
    </row>
    <row r="846">
      <c r="A846" s="81"/>
      <c r="B846" s="81"/>
      <c r="C846" s="81"/>
      <c r="D846" s="81"/>
      <c r="E846" s="81"/>
    </row>
    <row r="847">
      <c r="A847" s="81"/>
      <c r="B847" s="81"/>
      <c r="C847" s="81"/>
      <c r="D847" s="81"/>
      <c r="E847" s="81"/>
    </row>
    <row r="848">
      <c r="A848" s="81"/>
      <c r="B848" s="81"/>
      <c r="C848" s="81"/>
      <c r="D848" s="81"/>
      <c r="E848" s="81"/>
    </row>
    <row r="849">
      <c r="A849" s="81"/>
      <c r="B849" s="81"/>
      <c r="C849" s="81"/>
      <c r="D849" s="81"/>
      <c r="E849" s="81"/>
    </row>
    <row r="850">
      <c r="A850" s="81"/>
      <c r="B850" s="81"/>
      <c r="C850" s="81"/>
      <c r="D850" s="81"/>
      <c r="E850" s="81"/>
    </row>
    <row r="851">
      <c r="A851" s="81"/>
      <c r="B851" s="81"/>
      <c r="C851" s="81"/>
      <c r="D851" s="81"/>
      <c r="E851" s="81"/>
    </row>
    <row r="852">
      <c r="A852" s="81"/>
      <c r="B852" s="81"/>
      <c r="C852" s="81"/>
      <c r="D852" s="81"/>
      <c r="E852" s="81"/>
    </row>
    <row r="853">
      <c r="A853" s="81"/>
      <c r="B853" s="81"/>
      <c r="C853" s="81"/>
      <c r="D853" s="81"/>
      <c r="E853" s="81"/>
    </row>
    <row r="854">
      <c r="A854" s="81"/>
      <c r="B854" s="81"/>
      <c r="C854" s="81"/>
      <c r="D854" s="81"/>
      <c r="E854" s="81"/>
    </row>
    <row r="855">
      <c r="A855" s="81"/>
      <c r="B855" s="81"/>
      <c r="C855" s="81"/>
      <c r="D855" s="81"/>
      <c r="E855" s="81"/>
    </row>
    <row r="856">
      <c r="A856" s="81"/>
      <c r="B856" s="81"/>
      <c r="C856" s="81"/>
      <c r="D856" s="81"/>
      <c r="E856" s="81"/>
    </row>
    <row r="857">
      <c r="A857" s="81"/>
      <c r="B857" s="81"/>
      <c r="C857" s="81"/>
      <c r="D857" s="81"/>
      <c r="E857" s="81"/>
    </row>
    <row r="858">
      <c r="A858" s="81"/>
      <c r="B858" s="81"/>
      <c r="C858" s="81"/>
      <c r="D858" s="81"/>
      <c r="E858" s="81"/>
    </row>
    <row r="859">
      <c r="A859" s="81"/>
      <c r="B859" s="81"/>
      <c r="C859" s="81"/>
      <c r="D859" s="81"/>
      <c r="E859" s="81"/>
    </row>
    <row r="860">
      <c r="A860" s="81"/>
      <c r="B860" s="81"/>
      <c r="C860" s="81"/>
      <c r="D860" s="81"/>
      <c r="E860" s="81"/>
    </row>
    <row r="861">
      <c r="A861" s="81"/>
      <c r="B861" s="81"/>
      <c r="C861" s="81"/>
      <c r="D861" s="81"/>
      <c r="E861" s="81"/>
    </row>
    <row r="862">
      <c r="A862" s="81"/>
      <c r="B862" s="81"/>
      <c r="C862" s="81"/>
      <c r="D862" s="81"/>
      <c r="E862" s="81"/>
    </row>
    <row r="863">
      <c r="A863" s="81"/>
      <c r="B863" s="81"/>
      <c r="C863" s="81"/>
      <c r="D863" s="81"/>
      <c r="E863" s="81"/>
    </row>
    <row r="864">
      <c r="A864" s="81"/>
      <c r="B864" s="81"/>
      <c r="C864" s="81"/>
      <c r="D864" s="81"/>
      <c r="E864" s="81"/>
    </row>
    <row r="865">
      <c r="A865" s="81"/>
      <c r="B865" s="81"/>
      <c r="C865" s="81"/>
      <c r="D865" s="81"/>
      <c r="E865" s="81"/>
    </row>
    <row r="866">
      <c r="A866" s="81"/>
      <c r="B866" s="81"/>
      <c r="C866" s="81"/>
      <c r="D866" s="81"/>
      <c r="E866" s="81"/>
    </row>
    <row r="867">
      <c r="A867" s="81"/>
      <c r="B867" s="81"/>
      <c r="C867" s="81"/>
      <c r="D867" s="81"/>
      <c r="E867" s="81"/>
    </row>
    <row r="868">
      <c r="A868" s="81"/>
      <c r="B868" s="81"/>
      <c r="C868" s="81"/>
      <c r="D868" s="81"/>
      <c r="E868" s="81"/>
    </row>
    <row r="869">
      <c r="A869" s="81"/>
      <c r="B869" s="81"/>
      <c r="C869" s="81"/>
      <c r="D869" s="81"/>
      <c r="E869" s="81"/>
    </row>
    <row r="870">
      <c r="A870" s="81"/>
      <c r="B870" s="81"/>
      <c r="C870" s="81"/>
      <c r="D870" s="81"/>
      <c r="E870" s="81"/>
    </row>
    <row r="871">
      <c r="A871" s="81"/>
      <c r="B871" s="81"/>
      <c r="C871" s="81"/>
      <c r="D871" s="81"/>
      <c r="E871" s="81"/>
    </row>
    <row r="872">
      <c r="A872" s="81"/>
      <c r="B872" s="81"/>
      <c r="C872" s="81"/>
      <c r="D872" s="81"/>
      <c r="E872" s="81"/>
    </row>
    <row r="873">
      <c r="A873" s="81"/>
      <c r="B873" s="81"/>
      <c r="C873" s="81"/>
      <c r="D873" s="81"/>
      <c r="E873" s="81"/>
    </row>
    <row r="874">
      <c r="A874" s="81"/>
      <c r="B874" s="81"/>
      <c r="C874" s="81"/>
      <c r="D874" s="81"/>
      <c r="E874" s="81"/>
    </row>
    <row r="875">
      <c r="A875" s="81"/>
      <c r="B875" s="81"/>
      <c r="C875" s="81"/>
      <c r="D875" s="81"/>
      <c r="E875" s="81"/>
    </row>
    <row r="876">
      <c r="A876" s="81"/>
      <c r="B876" s="81"/>
      <c r="C876" s="81"/>
      <c r="D876" s="81"/>
      <c r="E876" s="81"/>
    </row>
    <row r="877">
      <c r="A877" s="81"/>
      <c r="B877" s="81"/>
      <c r="C877" s="81"/>
      <c r="D877" s="81"/>
      <c r="E877" s="81"/>
    </row>
    <row r="878">
      <c r="A878" s="81"/>
      <c r="B878" s="81"/>
      <c r="C878" s="81"/>
      <c r="D878" s="81"/>
      <c r="E878" s="81"/>
    </row>
    <row r="879">
      <c r="A879" s="81"/>
      <c r="B879" s="81"/>
      <c r="C879" s="81"/>
      <c r="D879" s="81"/>
      <c r="E879" s="81"/>
    </row>
    <row r="880">
      <c r="A880" s="81"/>
      <c r="B880" s="81"/>
      <c r="C880" s="81"/>
      <c r="D880" s="81"/>
      <c r="E880" s="81"/>
    </row>
    <row r="881">
      <c r="A881" s="81"/>
      <c r="B881" s="81"/>
      <c r="C881" s="81"/>
      <c r="D881" s="81"/>
      <c r="E881" s="81"/>
    </row>
    <row r="882">
      <c r="A882" s="81"/>
      <c r="B882" s="81"/>
      <c r="C882" s="81"/>
      <c r="D882" s="81"/>
      <c r="E882" s="81"/>
    </row>
    <row r="883">
      <c r="A883" s="81"/>
      <c r="B883" s="81"/>
      <c r="C883" s="81"/>
      <c r="D883" s="81"/>
      <c r="E883" s="81"/>
    </row>
    <row r="884">
      <c r="A884" s="81"/>
      <c r="B884" s="81"/>
      <c r="C884" s="81"/>
      <c r="D884" s="81"/>
      <c r="E884" s="81"/>
    </row>
    <row r="885">
      <c r="A885" s="81"/>
      <c r="B885" s="81"/>
      <c r="C885" s="81"/>
      <c r="D885" s="81"/>
      <c r="E885" s="81"/>
    </row>
    <row r="886">
      <c r="A886" s="81"/>
      <c r="B886" s="81"/>
      <c r="C886" s="81"/>
      <c r="D886" s="81"/>
      <c r="E886" s="81"/>
    </row>
    <row r="887">
      <c r="A887" s="81"/>
      <c r="B887" s="81"/>
      <c r="C887" s="81"/>
      <c r="D887" s="81"/>
      <c r="E887" s="81"/>
    </row>
    <row r="888">
      <c r="A888" s="81"/>
      <c r="B888" s="81"/>
      <c r="C888" s="81"/>
      <c r="D888" s="81"/>
      <c r="E888" s="81"/>
    </row>
    <row r="889">
      <c r="A889" s="81"/>
      <c r="B889" s="81"/>
      <c r="C889" s="81"/>
      <c r="D889" s="81"/>
      <c r="E889" s="81"/>
    </row>
    <row r="890">
      <c r="A890" s="81"/>
      <c r="B890" s="81"/>
      <c r="C890" s="81"/>
      <c r="D890" s="81"/>
      <c r="E890" s="81"/>
    </row>
    <row r="891">
      <c r="A891" s="81"/>
      <c r="B891" s="81"/>
      <c r="C891" s="81"/>
      <c r="D891" s="81"/>
      <c r="E891" s="81"/>
    </row>
    <row r="892">
      <c r="A892" s="81"/>
      <c r="B892" s="81"/>
      <c r="C892" s="81"/>
      <c r="D892" s="81"/>
      <c r="E892" s="81"/>
    </row>
    <row r="893">
      <c r="A893" s="81"/>
      <c r="B893" s="81"/>
      <c r="C893" s="81"/>
      <c r="D893" s="81"/>
      <c r="E893" s="81"/>
    </row>
    <row r="894">
      <c r="A894" s="81"/>
      <c r="B894" s="81"/>
      <c r="C894" s="81"/>
      <c r="D894" s="81"/>
      <c r="E894" s="81"/>
    </row>
    <row r="895">
      <c r="A895" s="81"/>
      <c r="B895" s="81"/>
      <c r="C895" s="81"/>
      <c r="D895" s="81"/>
      <c r="E895" s="81"/>
    </row>
    <row r="896">
      <c r="A896" s="81"/>
      <c r="B896" s="81"/>
      <c r="C896" s="81"/>
      <c r="D896" s="81"/>
      <c r="E896" s="81"/>
    </row>
    <row r="897">
      <c r="A897" s="81"/>
      <c r="B897" s="81"/>
      <c r="C897" s="81"/>
      <c r="D897" s="81"/>
      <c r="E897" s="81"/>
    </row>
    <row r="898">
      <c r="A898" s="81"/>
      <c r="B898" s="81"/>
      <c r="C898" s="81"/>
      <c r="D898" s="81"/>
      <c r="E898" s="81"/>
    </row>
    <row r="899">
      <c r="A899" s="81"/>
      <c r="B899" s="81"/>
      <c r="C899" s="81"/>
      <c r="D899" s="81"/>
      <c r="E899" s="81"/>
    </row>
    <row r="900">
      <c r="A900" s="81"/>
      <c r="B900" s="81"/>
      <c r="C900" s="81"/>
      <c r="D900" s="81"/>
      <c r="E900" s="81"/>
    </row>
    <row r="901">
      <c r="A901" s="81"/>
      <c r="B901" s="81"/>
      <c r="C901" s="81"/>
      <c r="D901" s="81"/>
      <c r="E901" s="81"/>
    </row>
    <row r="902">
      <c r="A902" s="81"/>
      <c r="B902" s="81"/>
      <c r="C902" s="81"/>
      <c r="D902" s="81"/>
      <c r="E902" s="81"/>
    </row>
    <row r="903">
      <c r="A903" s="81"/>
      <c r="B903" s="81"/>
      <c r="C903" s="81"/>
      <c r="D903" s="81"/>
      <c r="E903" s="81"/>
    </row>
    <row r="904">
      <c r="A904" s="81"/>
      <c r="B904" s="81"/>
      <c r="C904" s="81"/>
      <c r="D904" s="81"/>
      <c r="E904" s="81"/>
    </row>
    <row r="905">
      <c r="A905" s="81"/>
      <c r="B905" s="81"/>
      <c r="C905" s="81"/>
      <c r="D905" s="81"/>
      <c r="E905" s="81"/>
    </row>
    <row r="906">
      <c r="A906" s="81"/>
      <c r="B906" s="81"/>
      <c r="C906" s="81"/>
      <c r="D906" s="81"/>
      <c r="E906" s="81"/>
    </row>
    <row r="907">
      <c r="A907" s="81"/>
      <c r="B907" s="81"/>
      <c r="C907" s="81"/>
      <c r="D907" s="81"/>
      <c r="E907" s="81"/>
    </row>
    <row r="908">
      <c r="A908" s="81"/>
      <c r="B908" s="81"/>
      <c r="C908" s="81"/>
      <c r="D908" s="81"/>
      <c r="E908" s="81"/>
    </row>
    <row r="909">
      <c r="A909" s="81"/>
      <c r="B909" s="81"/>
      <c r="C909" s="81"/>
      <c r="D909" s="81"/>
      <c r="E909" s="81"/>
    </row>
    <row r="910">
      <c r="A910" s="81"/>
      <c r="B910" s="81"/>
      <c r="C910" s="81"/>
      <c r="D910" s="81"/>
      <c r="E910" s="81"/>
    </row>
    <row r="911">
      <c r="A911" s="81"/>
      <c r="B911" s="81"/>
      <c r="C911" s="81"/>
      <c r="D911" s="81"/>
      <c r="E911" s="81"/>
    </row>
    <row r="912">
      <c r="A912" s="81"/>
      <c r="B912" s="81"/>
      <c r="C912" s="81"/>
      <c r="D912" s="81"/>
      <c r="E912" s="81"/>
    </row>
    <row r="913">
      <c r="A913" s="81"/>
      <c r="B913" s="81"/>
      <c r="C913" s="81"/>
      <c r="D913" s="81"/>
      <c r="E913" s="81"/>
    </row>
    <row r="914">
      <c r="A914" s="81"/>
      <c r="B914" s="81"/>
      <c r="C914" s="81"/>
      <c r="D914" s="81"/>
      <c r="E914" s="81"/>
    </row>
    <row r="915">
      <c r="A915" s="81"/>
      <c r="B915" s="81"/>
      <c r="C915" s="81"/>
      <c r="D915" s="81"/>
      <c r="E915" s="81"/>
    </row>
    <row r="916">
      <c r="A916" s="81"/>
      <c r="B916" s="81"/>
      <c r="C916" s="81"/>
      <c r="D916" s="81"/>
      <c r="E916" s="81"/>
    </row>
    <row r="917">
      <c r="A917" s="81"/>
      <c r="B917" s="81"/>
      <c r="C917" s="81"/>
      <c r="D917" s="81"/>
      <c r="E917" s="81"/>
    </row>
    <row r="918">
      <c r="A918" s="81"/>
      <c r="B918" s="81"/>
      <c r="C918" s="81"/>
      <c r="D918" s="81"/>
      <c r="E918" s="81"/>
    </row>
    <row r="919">
      <c r="A919" s="81"/>
      <c r="B919" s="81"/>
      <c r="C919" s="81"/>
      <c r="D919" s="81"/>
      <c r="E919" s="81"/>
    </row>
    <row r="920">
      <c r="A920" s="81"/>
      <c r="B920" s="81"/>
      <c r="C920" s="81"/>
      <c r="D920" s="81"/>
      <c r="E920" s="81"/>
    </row>
    <row r="921">
      <c r="A921" s="81"/>
      <c r="B921" s="81"/>
      <c r="C921" s="81"/>
      <c r="D921" s="81"/>
      <c r="E921" s="81"/>
    </row>
    <row r="922">
      <c r="A922" s="81"/>
      <c r="B922" s="81"/>
      <c r="C922" s="81"/>
      <c r="D922" s="81"/>
      <c r="E922" s="81"/>
    </row>
    <row r="923">
      <c r="A923" s="81"/>
      <c r="B923" s="81"/>
      <c r="C923" s="81"/>
      <c r="D923" s="81"/>
      <c r="E923" s="81"/>
    </row>
    <row r="924">
      <c r="A924" s="81"/>
      <c r="B924" s="81"/>
      <c r="C924" s="81"/>
      <c r="D924" s="81"/>
      <c r="E924" s="81"/>
    </row>
    <row r="925">
      <c r="A925" s="81"/>
      <c r="B925" s="81"/>
      <c r="C925" s="81"/>
      <c r="D925" s="81"/>
      <c r="E925" s="81"/>
    </row>
    <row r="926">
      <c r="A926" s="81"/>
      <c r="B926" s="81"/>
      <c r="C926" s="81"/>
      <c r="D926" s="81"/>
      <c r="E926" s="81"/>
    </row>
    <row r="927">
      <c r="A927" s="81"/>
      <c r="B927" s="81"/>
      <c r="C927" s="81"/>
      <c r="D927" s="81"/>
      <c r="E927" s="81"/>
    </row>
    <row r="928">
      <c r="A928" s="81"/>
      <c r="B928" s="81"/>
      <c r="C928" s="81"/>
      <c r="D928" s="81"/>
      <c r="E928" s="81"/>
    </row>
    <row r="929">
      <c r="A929" s="81"/>
      <c r="B929" s="81"/>
      <c r="C929" s="81"/>
      <c r="D929" s="81"/>
      <c r="E929" s="81"/>
    </row>
    <row r="930">
      <c r="A930" s="81"/>
      <c r="B930" s="81"/>
      <c r="C930" s="81"/>
      <c r="D930" s="81"/>
      <c r="E930" s="81"/>
    </row>
    <row r="931">
      <c r="A931" s="81"/>
      <c r="B931" s="81"/>
      <c r="C931" s="81"/>
      <c r="D931" s="81"/>
      <c r="E931" s="81"/>
    </row>
    <row r="932">
      <c r="A932" s="81"/>
      <c r="B932" s="81"/>
      <c r="C932" s="81"/>
      <c r="D932" s="81"/>
      <c r="E932" s="81"/>
    </row>
    <row r="933">
      <c r="A933" s="81"/>
      <c r="B933" s="81"/>
      <c r="C933" s="81"/>
      <c r="D933" s="81"/>
      <c r="E933" s="81"/>
    </row>
    <row r="934">
      <c r="A934" s="81"/>
      <c r="B934" s="81"/>
      <c r="C934" s="81"/>
      <c r="D934" s="81"/>
      <c r="E934" s="81"/>
    </row>
    <row r="935">
      <c r="A935" s="81"/>
      <c r="B935" s="81"/>
      <c r="C935" s="81"/>
      <c r="D935" s="81"/>
      <c r="E935" s="81"/>
    </row>
    <row r="936">
      <c r="A936" s="81"/>
      <c r="B936" s="81"/>
      <c r="C936" s="81"/>
      <c r="D936" s="81"/>
      <c r="E936" s="81"/>
    </row>
    <row r="937">
      <c r="A937" s="81"/>
      <c r="B937" s="81"/>
      <c r="C937" s="81"/>
      <c r="D937" s="81"/>
      <c r="E937" s="81"/>
    </row>
    <row r="938">
      <c r="A938" s="81"/>
      <c r="B938" s="81"/>
      <c r="C938" s="81"/>
      <c r="D938" s="81"/>
      <c r="E938" s="81"/>
    </row>
    <row r="939">
      <c r="A939" s="81"/>
      <c r="B939" s="81"/>
      <c r="C939" s="81"/>
      <c r="D939" s="81"/>
      <c r="E939" s="81"/>
    </row>
    <row r="940">
      <c r="A940" s="81"/>
      <c r="B940" s="81"/>
      <c r="C940" s="81"/>
      <c r="D940" s="81"/>
      <c r="E940" s="81"/>
    </row>
    <row r="941">
      <c r="A941" s="81"/>
      <c r="B941" s="81"/>
      <c r="C941" s="81"/>
      <c r="D941" s="81"/>
      <c r="E941" s="81"/>
    </row>
    <row r="942">
      <c r="A942" s="81"/>
      <c r="B942" s="81"/>
      <c r="C942" s="81"/>
      <c r="D942" s="81"/>
      <c r="E942" s="81"/>
    </row>
    <row r="943">
      <c r="A943" s="81"/>
      <c r="B943" s="81"/>
      <c r="C943" s="81"/>
      <c r="D943" s="81"/>
      <c r="E943" s="81"/>
    </row>
    <row r="944">
      <c r="A944" s="81"/>
      <c r="B944" s="81"/>
      <c r="C944" s="81"/>
      <c r="D944" s="81"/>
      <c r="E944" s="81"/>
    </row>
    <row r="945">
      <c r="A945" s="81"/>
      <c r="B945" s="81"/>
      <c r="C945" s="81"/>
      <c r="D945" s="81"/>
      <c r="E945" s="81"/>
    </row>
    <row r="946">
      <c r="A946" s="81"/>
      <c r="B946" s="81"/>
      <c r="C946" s="81"/>
      <c r="D946" s="81"/>
      <c r="E946" s="81"/>
    </row>
    <row r="947">
      <c r="A947" s="81"/>
      <c r="B947" s="81"/>
      <c r="C947" s="81"/>
      <c r="D947" s="81"/>
      <c r="E947" s="81"/>
    </row>
    <row r="948">
      <c r="A948" s="81"/>
      <c r="B948" s="81"/>
      <c r="C948" s="81"/>
      <c r="D948" s="81"/>
      <c r="E948" s="81"/>
    </row>
    <row r="949">
      <c r="A949" s="81"/>
      <c r="B949" s="81"/>
      <c r="C949" s="81"/>
      <c r="D949" s="81"/>
      <c r="E949" s="81"/>
    </row>
    <row r="950">
      <c r="A950" s="81"/>
      <c r="B950" s="81"/>
      <c r="C950" s="81"/>
      <c r="D950" s="81"/>
      <c r="E950" s="81"/>
    </row>
    <row r="951">
      <c r="A951" s="81"/>
      <c r="B951" s="81"/>
      <c r="C951" s="81"/>
      <c r="D951" s="81"/>
      <c r="E951" s="81"/>
    </row>
    <row r="952">
      <c r="A952" s="81"/>
      <c r="B952" s="81"/>
      <c r="C952" s="81"/>
      <c r="D952" s="81"/>
      <c r="E952" s="81"/>
    </row>
    <row r="953">
      <c r="A953" s="81"/>
      <c r="B953" s="81"/>
      <c r="C953" s="81"/>
      <c r="D953" s="81"/>
      <c r="E953" s="81"/>
    </row>
    <row r="954">
      <c r="A954" s="81"/>
      <c r="B954" s="81"/>
      <c r="C954" s="81"/>
      <c r="D954" s="81"/>
      <c r="E954" s="81"/>
    </row>
    <row r="955">
      <c r="A955" s="81"/>
      <c r="B955" s="81"/>
      <c r="C955" s="81"/>
      <c r="D955" s="81"/>
      <c r="E955" s="81"/>
    </row>
    <row r="956">
      <c r="A956" s="81"/>
      <c r="B956" s="81"/>
      <c r="C956" s="81"/>
      <c r="D956" s="81"/>
      <c r="E956" s="81"/>
    </row>
    <row r="957">
      <c r="A957" s="81"/>
      <c r="B957" s="81"/>
      <c r="C957" s="81"/>
      <c r="D957" s="81"/>
      <c r="E957" s="81"/>
    </row>
    <row r="958">
      <c r="A958" s="81"/>
      <c r="B958" s="81"/>
      <c r="C958" s="81"/>
      <c r="D958" s="81"/>
      <c r="E958" s="81"/>
    </row>
    <row r="959">
      <c r="A959" s="81"/>
      <c r="B959" s="81"/>
      <c r="C959" s="81"/>
      <c r="D959" s="81"/>
      <c r="E959" s="81"/>
    </row>
    <row r="960">
      <c r="A960" s="81"/>
      <c r="B960" s="81"/>
      <c r="C960" s="81"/>
      <c r="D960" s="81"/>
      <c r="E960" s="81"/>
    </row>
    <row r="961">
      <c r="A961" s="81"/>
      <c r="B961" s="81"/>
      <c r="C961" s="81"/>
      <c r="D961" s="81"/>
      <c r="E961" s="81"/>
    </row>
    <row r="962">
      <c r="A962" s="81"/>
      <c r="B962" s="81"/>
      <c r="C962" s="81"/>
      <c r="D962" s="81"/>
      <c r="E962" s="81"/>
    </row>
    <row r="963">
      <c r="A963" s="81"/>
      <c r="B963" s="81"/>
      <c r="C963" s="81"/>
      <c r="D963" s="81"/>
      <c r="E963" s="81"/>
    </row>
    <row r="964">
      <c r="A964" s="81"/>
      <c r="B964" s="81"/>
      <c r="C964" s="81"/>
      <c r="D964" s="81"/>
      <c r="E964" s="81"/>
    </row>
    <row r="965">
      <c r="A965" s="81"/>
      <c r="B965" s="81"/>
      <c r="C965" s="81"/>
      <c r="D965" s="81"/>
      <c r="E965" s="81"/>
    </row>
    <row r="966">
      <c r="A966" s="81"/>
      <c r="B966" s="81"/>
      <c r="C966" s="81"/>
      <c r="D966" s="81"/>
      <c r="E966" s="81"/>
    </row>
    <row r="967">
      <c r="A967" s="81"/>
      <c r="B967" s="81"/>
      <c r="C967" s="81"/>
      <c r="D967" s="81"/>
      <c r="E967" s="81"/>
    </row>
    <row r="968">
      <c r="A968" s="81"/>
      <c r="B968" s="81"/>
      <c r="C968" s="81"/>
      <c r="D968" s="81"/>
      <c r="E968" s="81"/>
    </row>
    <row r="969">
      <c r="A969" s="81"/>
      <c r="B969" s="81"/>
      <c r="C969" s="81"/>
      <c r="D969" s="81"/>
      <c r="E969" s="81"/>
    </row>
    <row r="970">
      <c r="A970" s="81"/>
      <c r="B970" s="81"/>
      <c r="C970" s="81"/>
      <c r="D970" s="81"/>
      <c r="E970" s="81"/>
    </row>
    <row r="971">
      <c r="A971" s="81"/>
      <c r="B971" s="81"/>
      <c r="C971" s="81"/>
      <c r="D971" s="81"/>
      <c r="E971" s="81"/>
    </row>
    <row r="972">
      <c r="A972" s="81"/>
      <c r="B972" s="81"/>
      <c r="C972" s="81"/>
      <c r="D972" s="81"/>
      <c r="E972" s="81"/>
    </row>
    <row r="973">
      <c r="A973" s="81"/>
      <c r="B973" s="81"/>
      <c r="C973" s="81"/>
      <c r="D973" s="81"/>
      <c r="E973" s="81"/>
    </row>
    <row r="974">
      <c r="A974" s="81"/>
      <c r="B974" s="81"/>
      <c r="C974" s="81"/>
      <c r="D974" s="81"/>
      <c r="E974" s="81"/>
    </row>
    <row r="975">
      <c r="A975" s="81"/>
      <c r="B975" s="81"/>
      <c r="C975" s="81"/>
      <c r="D975" s="81"/>
      <c r="E975" s="81"/>
    </row>
    <row r="976">
      <c r="A976" s="81"/>
      <c r="B976" s="81"/>
      <c r="C976" s="81"/>
      <c r="D976" s="81"/>
      <c r="E976" s="81"/>
    </row>
    <row r="977">
      <c r="A977" s="81"/>
      <c r="B977" s="81"/>
      <c r="C977" s="81"/>
      <c r="D977" s="81"/>
      <c r="E977" s="81"/>
    </row>
    <row r="978">
      <c r="A978" s="81"/>
      <c r="B978" s="81"/>
      <c r="C978" s="81"/>
      <c r="D978" s="81"/>
      <c r="E978" s="81"/>
    </row>
    <row r="979">
      <c r="A979" s="81"/>
      <c r="B979" s="81"/>
      <c r="C979" s="81"/>
      <c r="D979" s="81"/>
      <c r="E979" s="81"/>
    </row>
    <row r="980">
      <c r="A980" s="81"/>
      <c r="B980" s="81"/>
      <c r="C980" s="81"/>
      <c r="D980" s="81"/>
      <c r="E980" s="81"/>
    </row>
    <row r="981">
      <c r="A981" s="81"/>
      <c r="B981" s="81"/>
      <c r="C981" s="81"/>
      <c r="D981" s="81"/>
      <c r="E981" s="81"/>
    </row>
    <row r="982">
      <c r="A982" s="81"/>
      <c r="B982" s="81"/>
      <c r="C982" s="81"/>
      <c r="D982" s="81"/>
      <c r="E982" s="81"/>
    </row>
    <row r="983">
      <c r="A983" s="81"/>
      <c r="B983" s="81"/>
      <c r="C983" s="81"/>
      <c r="D983" s="81"/>
      <c r="E983" s="81"/>
    </row>
    <row r="984">
      <c r="A984" s="81"/>
      <c r="B984" s="81"/>
      <c r="C984" s="81"/>
      <c r="D984" s="81"/>
      <c r="E984" s="81"/>
    </row>
    <row r="985">
      <c r="A985" s="81"/>
      <c r="B985" s="81"/>
      <c r="C985" s="81"/>
      <c r="D985" s="81"/>
      <c r="E985" s="81"/>
    </row>
    <row r="986">
      <c r="A986" s="81"/>
      <c r="B986" s="81"/>
      <c r="C986" s="81"/>
      <c r="D986" s="81"/>
      <c r="E986" s="81"/>
    </row>
    <row r="987">
      <c r="A987" s="81"/>
      <c r="B987" s="81"/>
      <c r="C987" s="81"/>
      <c r="D987" s="81"/>
      <c r="E987" s="81"/>
    </row>
    <row r="988">
      <c r="A988" s="81"/>
      <c r="B988" s="81"/>
      <c r="C988" s="81"/>
      <c r="D988" s="81"/>
      <c r="E988" s="81"/>
    </row>
    <row r="989">
      <c r="A989" s="81"/>
      <c r="B989" s="81"/>
      <c r="C989" s="81"/>
      <c r="D989" s="81"/>
      <c r="E989" s="81"/>
    </row>
    <row r="990">
      <c r="A990" s="81"/>
      <c r="B990" s="81"/>
      <c r="C990" s="81"/>
      <c r="D990" s="81"/>
      <c r="E990" s="81"/>
    </row>
    <row r="991">
      <c r="A991" s="81"/>
      <c r="B991" s="81"/>
      <c r="C991" s="81"/>
      <c r="D991" s="81"/>
      <c r="E991" s="81"/>
    </row>
    <row r="992">
      <c r="A992" s="81"/>
      <c r="B992" s="81"/>
      <c r="C992" s="81"/>
      <c r="D992" s="81"/>
      <c r="E992" s="81"/>
    </row>
    <row r="993">
      <c r="A993" s="81"/>
      <c r="B993" s="81"/>
      <c r="C993" s="81"/>
      <c r="D993" s="81"/>
      <c r="E993" s="81"/>
    </row>
    <row r="994">
      <c r="A994" s="81"/>
      <c r="B994" s="81"/>
      <c r="C994" s="81"/>
      <c r="D994" s="81"/>
      <c r="E994" s="81"/>
    </row>
    <row r="995">
      <c r="A995" s="81"/>
      <c r="B995" s="81"/>
      <c r="C995" s="81"/>
      <c r="D995" s="81"/>
      <c r="E995" s="81"/>
    </row>
    <row r="996">
      <c r="A996" s="81"/>
      <c r="B996" s="81"/>
      <c r="C996" s="81"/>
      <c r="D996" s="81"/>
      <c r="E996" s="81"/>
    </row>
    <row r="997">
      <c r="A997" s="81"/>
      <c r="B997" s="81"/>
      <c r="C997" s="81"/>
      <c r="D997" s="81"/>
      <c r="E997" s="81"/>
    </row>
    <row r="998">
      <c r="A998" s="81"/>
      <c r="B998" s="81"/>
      <c r="C998" s="81"/>
      <c r="D998" s="81"/>
      <c r="E998" s="81"/>
    </row>
    <row r="999">
      <c r="A999" s="81"/>
      <c r="B999" s="81"/>
      <c r="C999" s="81"/>
      <c r="D999" s="81"/>
      <c r="E999" s="81"/>
    </row>
    <row r="1000">
      <c r="A1000" s="81"/>
      <c r="B1000" s="81"/>
      <c r="C1000" s="81"/>
      <c r="D1000" s="81"/>
      <c r="E1000" s="8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0"/>
    <col customWidth="1" hidden="1" min="3" max="3" width="18.13"/>
    <col customWidth="1" hidden="1" min="4" max="5" width="17.0"/>
  </cols>
  <sheetData>
    <row r="1">
      <c r="A1" s="58" t="s">
        <v>81</v>
      </c>
      <c r="B1" s="58" t="s">
        <v>82</v>
      </c>
      <c r="C1" s="59" t="s">
        <v>83</v>
      </c>
      <c r="D1" s="59" t="s">
        <v>84</v>
      </c>
      <c r="E1" s="59" t="s">
        <v>85</v>
      </c>
      <c r="F1" s="65" t="s">
        <v>2</v>
      </c>
      <c r="G1" s="66" t="s">
        <v>5</v>
      </c>
      <c r="H1" s="67" t="s">
        <v>86</v>
      </c>
      <c r="I1" s="69" t="s">
        <v>100</v>
      </c>
    </row>
    <row r="2">
      <c r="A2" s="74" t="s">
        <v>33</v>
      </c>
      <c r="B2" s="74">
        <v>3.0</v>
      </c>
      <c r="C2" s="75">
        <f t="shared" ref="C2:C30" si="1">IF(ISBLANK(A2), "", RAND())</f>
        <v>0.2136697829</v>
      </c>
      <c r="D2" s="75">
        <f t="shared" ref="D2:D30" si="2">IF(ISBLANK(A2), "", RANK(C2, $C$2:$C30))
</f>
        <v>14</v>
      </c>
      <c r="E2" s="75">
        <f t="shared" ref="E2:E30" si="3">IF(ISBLANK(A2), "", MOD(D2-1, $B$2) + 1)
</f>
        <v>2</v>
      </c>
      <c r="F2" s="38" t="str">
        <f>IFERROR(__xludf.DUMMYFUNCTION("SORT(IF($B$2&gt;=1, FILTER($A$2:$A30, $E$2:$E30=1), """"))
"),"Benjamin L")</f>
        <v>Benjamin L</v>
      </c>
      <c r="G2" s="35" t="str">
        <f>IFERROR(__xludf.DUMMYFUNCTION("SORT(IF($B$2&gt;=2, FILTER($A$2:$A30, $E$2:$E30=2), """"))
"),"Ali K")</f>
        <v>Ali K</v>
      </c>
      <c r="H2" s="76" t="str">
        <f>IFERROR(__xludf.DUMMYFUNCTION("SORT(IF($B$2&gt;=3, FILTER($A$2:$A30, $E$2:$E30=3), """"))
"),"Dennis F")</f>
        <v>Dennis F</v>
      </c>
      <c r="I2" s="84" t="str">
        <f>IFERROR(__xludf.DUMMYFUNCTION("SORT(IF($B$2&gt;=4, FILTER($A$2:$A30, $E$2:$E30=4), """"))
"),"")</f>
        <v/>
      </c>
    </row>
    <row r="3">
      <c r="A3" s="74" t="s">
        <v>101</v>
      </c>
      <c r="B3" s="81"/>
      <c r="C3" s="75">
        <f t="shared" si="1"/>
        <v>0.1704035879</v>
      </c>
      <c r="D3" s="75">
        <f t="shared" si="2"/>
        <v>16</v>
      </c>
      <c r="E3" s="75">
        <f t="shared" si="3"/>
        <v>1</v>
      </c>
      <c r="F3" s="38" t="str">
        <f>IFERROR(__xludf.DUMMYFUNCTION("""COMPUTED_VALUE"""),"Erik N")</f>
        <v>Erik N</v>
      </c>
      <c r="G3" s="35" t="str">
        <f>IFERROR(__xludf.DUMMYFUNCTION("""COMPUTED_VALUE"""),"Aria A")</f>
        <v>Aria A</v>
      </c>
      <c r="H3" s="76" t="str">
        <f>IFERROR(__xludf.DUMMYFUNCTION("""COMPUTED_VALUE"""),"Ilir A")</f>
        <v>Ilir A</v>
      </c>
      <c r="I3" s="84"/>
    </row>
    <row r="4">
      <c r="A4" s="74" t="s">
        <v>35</v>
      </c>
      <c r="C4" s="75">
        <f t="shared" si="1"/>
        <v>0.9947260104</v>
      </c>
      <c r="D4" s="75">
        <f t="shared" si="2"/>
        <v>1</v>
      </c>
      <c r="E4" s="75">
        <f t="shared" si="3"/>
        <v>1</v>
      </c>
      <c r="F4" s="38" t="str">
        <f>IFERROR(__xludf.DUMMYFUNCTION("""COMPUTED_VALUE"""),"Hawsang")</f>
        <v>Hawsang</v>
      </c>
      <c r="G4" s="35" t="str">
        <f>IFERROR(__xludf.DUMMYFUNCTION("""COMPUTED_VALUE"""),"Daniel K")</f>
        <v>Daniel K</v>
      </c>
      <c r="H4" s="76" t="str">
        <f>IFERROR(__xludf.DUMMYFUNCTION("""COMPUTED_VALUE"""),"Jakob S")</f>
        <v>Jakob S</v>
      </c>
      <c r="I4" s="84"/>
    </row>
    <row r="5">
      <c r="A5" s="74" t="s">
        <v>102</v>
      </c>
      <c r="C5" s="75">
        <f t="shared" si="1"/>
        <v>0.5227468208</v>
      </c>
      <c r="D5" s="75">
        <f t="shared" si="2"/>
        <v>7</v>
      </c>
      <c r="E5" s="75">
        <f t="shared" si="3"/>
        <v>1</v>
      </c>
      <c r="F5" s="38" t="str">
        <f>IFERROR(__xludf.DUMMYFUNCTION("""COMPUTED_VALUE"""),"Oliver G")</f>
        <v>Oliver G</v>
      </c>
      <c r="G5" s="35" t="str">
        <f>IFERROR(__xludf.DUMMYFUNCTION("""COMPUTED_VALUE"""),"Isak H")</f>
        <v>Isak H</v>
      </c>
      <c r="H5" s="76" t="str">
        <f>IFERROR(__xludf.DUMMYFUNCTION("""COMPUTED_VALUE"""),"Mattias R")</f>
        <v>Mattias R</v>
      </c>
      <c r="I5" s="84"/>
    </row>
    <row r="6">
      <c r="A6" s="74" t="s">
        <v>36</v>
      </c>
      <c r="C6" s="75">
        <f t="shared" si="1"/>
        <v>0.5331402889</v>
      </c>
      <c r="D6" s="75">
        <f t="shared" si="2"/>
        <v>6</v>
      </c>
      <c r="E6" s="75">
        <f t="shared" si="3"/>
        <v>3</v>
      </c>
      <c r="F6" s="38" t="str">
        <f>IFERROR(__xludf.DUMMYFUNCTION("""COMPUTED_VALUE"""),"Oskar W ")</f>
        <v>Oskar W </v>
      </c>
      <c r="G6" s="35" t="str">
        <f>IFERROR(__xludf.DUMMYFUNCTION("""COMPUTED_VALUE"""),"Isak K")</f>
        <v>Isak K</v>
      </c>
      <c r="H6" s="76" t="str">
        <f>IFERROR(__xludf.DUMMYFUNCTION("""COMPUTED_VALUE"""),"Noor A")</f>
        <v>Noor A</v>
      </c>
      <c r="I6" s="84"/>
    </row>
    <row r="7">
      <c r="A7" s="74" t="s">
        <v>103</v>
      </c>
      <c r="C7" s="75">
        <f t="shared" si="1"/>
        <v>0.4161944334</v>
      </c>
      <c r="D7" s="75">
        <f t="shared" si="2"/>
        <v>12</v>
      </c>
      <c r="E7" s="75">
        <f t="shared" si="3"/>
        <v>3</v>
      </c>
      <c r="F7" s="38" t="str">
        <f>IFERROR(__xludf.DUMMYFUNCTION("""COMPUTED_VALUE"""),"Samuel P")</f>
        <v>Samuel P</v>
      </c>
      <c r="G7" s="35" t="str">
        <f>IFERROR(__xludf.DUMMYFUNCTION("""COMPUTED_VALUE"""),"Leo K")</f>
        <v>Leo K</v>
      </c>
      <c r="H7" s="76" t="str">
        <f>IFERROR(__xludf.DUMMYFUNCTION("""COMPUTED_VALUE"""),"Oskar W")</f>
        <v>Oskar W</v>
      </c>
      <c r="I7" s="84"/>
    </row>
    <row r="8">
      <c r="A8" s="74" t="s">
        <v>54</v>
      </c>
      <c r="C8" s="75">
        <f t="shared" si="1"/>
        <v>0.7600807737</v>
      </c>
      <c r="D8" s="75">
        <f t="shared" si="2"/>
        <v>3</v>
      </c>
      <c r="E8" s="75">
        <f t="shared" si="3"/>
        <v>3</v>
      </c>
      <c r="F8" s="38"/>
      <c r="G8" s="35"/>
      <c r="H8" s="76"/>
      <c r="I8" s="84"/>
    </row>
    <row r="9">
      <c r="A9" s="74" t="s">
        <v>104</v>
      </c>
      <c r="C9" s="75">
        <f t="shared" si="1"/>
        <v>0.1786036519</v>
      </c>
      <c r="D9" s="75">
        <f t="shared" si="2"/>
        <v>15</v>
      </c>
      <c r="E9" s="75">
        <f t="shared" si="3"/>
        <v>3</v>
      </c>
      <c r="F9" s="38"/>
      <c r="G9" s="35"/>
      <c r="H9" s="76"/>
      <c r="I9" s="84"/>
    </row>
    <row r="10">
      <c r="A10" s="74" t="s">
        <v>105</v>
      </c>
      <c r="C10" s="75">
        <f t="shared" si="1"/>
        <v>0.5895552492</v>
      </c>
      <c r="D10" s="75">
        <f t="shared" si="2"/>
        <v>5</v>
      </c>
      <c r="E10" s="75">
        <f t="shared" si="3"/>
        <v>2</v>
      </c>
      <c r="F10" s="38"/>
      <c r="G10" s="35"/>
      <c r="H10" s="76"/>
      <c r="I10" s="84"/>
    </row>
    <row r="11">
      <c r="A11" s="74" t="s">
        <v>106</v>
      </c>
      <c r="C11" s="75">
        <f t="shared" si="1"/>
        <v>0.4176573924</v>
      </c>
      <c r="D11" s="75">
        <f t="shared" si="2"/>
        <v>11</v>
      </c>
      <c r="E11" s="75">
        <f t="shared" si="3"/>
        <v>2</v>
      </c>
      <c r="F11" s="38"/>
      <c r="G11" s="35"/>
      <c r="H11" s="76"/>
      <c r="I11" s="84"/>
    </row>
    <row r="12">
      <c r="A12" s="74" t="s">
        <v>107</v>
      </c>
      <c r="C12" s="75">
        <f t="shared" si="1"/>
        <v>0.8772373488</v>
      </c>
      <c r="D12" s="75">
        <f t="shared" si="2"/>
        <v>2</v>
      </c>
      <c r="E12" s="75">
        <f t="shared" si="3"/>
        <v>2</v>
      </c>
      <c r="F12" s="38"/>
      <c r="G12" s="35"/>
      <c r="H12" s="76"/>
      <c r="I12" s="84"/>
    </row>
    <row r="13">
      <c r="A13" s="74" t="s">
        <v>24</v>
      </c>
      <c r="C13" s="75">
        <f t="shared" si="1"/>
        <v>0.3920584981</v>
      </c>
      <c r="D13" s="75">
        <f t="shared" si="2"/>
        <v>13</v>
      </c>
      <c r="E13" s="75">
        <f t="shared" si="3"/>
        <v>1</v>
      </c>
      <c r="F13" s="38"/>
      <c r="G13" s="35"/>
      <c r="H13" s="76"/>
      <c r="I13" s="84"/>
    </row>
    <row r="14">
      <c r="A14" s="74" t="s">
        <v>25</v>
      </c>
      <c r="C14" s="75">
        <f t="shared" si="1"/>
        <v>0.1124892657</v>
      </c>
      <c r="D14" s="75">
        <f t="shared" si="2"/>
        <v>17</v>
      </c>
      <c r="E14" s="75">
        <f t="shared" si="3"/>
        <v>2</v>
      </c>
      <c r="F14" s="38"/>
      <c r="G14" s="35"/>
      <c r="H14" s="76"/>
      <c r="I14" s="84"/>
    </row>
    <row r="15">
      <c r="A15" s="74" t="s">
        <v>53</v>
      </c>
      <c r="C15" s="75">
        <f t="shared" si="1"/>
        <v>0.4458137299</v>
      </c>
      <c r="D15" s="75">
        <f t="shared" si="2"/>
        <v>10</v>
      </c>
      <c r="E15" s="75">
        <f t="shared" si="3"/>
        <v>1</v>
      </c>
      <c r="F15" s="38"/>
      <c r="G15" s="35"/>
      <c r="H15" s="76"/>
      <c r="I15" s="84"/>
    </row>
    <row r="16">
      <c r="A16" s="74" t="s">
        <v>55</v>
      </c>
      <c r="C16" s="75">
        <f t="shared" si="1"/>
        <v>0.08766517966</v>
      </c>
      <c r="D16" s="75">
        <f t="shared" si="2"/>
        <v>18</v>
      </c>
      <c r="E16" s="75">
        <f t="shared" si="3"/>
        <v>3</v>
      </c>
      <c r="F16" s="38"/>
      <c r="G16" s="35"/>
      <c r="H16" s="76"/>
      <c r="I16" s="84"/>
    </row>
    <row r="17">
      <c r="A17" s="74" t="s">
        <v>108</v>
      </c>
      <c r="C17" s="75">
        <f t="shared" si="1"/>
        <v>0.4885155945</v>
      </c>
      <c r="D17" s="75">
        <f t="shared" si="2"/>
        <v>9</v>
      </c>
      <c r="E17" s="75">
        <f t="shared" si="3"/>
        <v>3</v>
      </c>
      <c r="F17" s="38"/>
      <c r="G17" s="35"/>
      <c r="H17" s="76"/>
      <c r="I17" s="84"/>
    </row>
    <row r="18">
      <c r="A18" s="74" t="s">
        <v>109</v>
      </c>
      <c r="C18" s="75">
        <f t="shared" si="1"/>
        <v>0.4958134977</v>
      </c>
      <c r="D18" s="75">
        <f t="shared" si="2"/>
        <v>8</v>
      </c>
      <c r="E18" s="75">
        <f t="shared" si="3"/>
        <v>2</v>
      </c>
      <c r="F18" s="38"/>
      <c r="G18" s="35"/>
      <c r="H18" s="76"/>
      <c r="I18" s="84"/>
    </row>
    <row r="19">
      <c r="A19" s="74" t="s">
        <v>110</v>
      </c>
      <c r="C19" s="75">
        <f t="shared" si="1"/>
        <v>0.7529781488</v>
      </c>
      <c r="D19" s="75">
        <f t="shared" si="2"/>
        <v>4</v>
      </c>
      <c r="E19" s="75">
        <f t="shared" si="3"/>
        <v>1</v>
      </c>
      <c r="F19" s="38"/>
      <c r="G19" s="35"/>
      <c r="H19" s="76"/>
      <c r="I19" s="84"/>
    </row>
    <row r="20">
      <c r="A20" s="74"/>
      <c r="C20" s="75" t="str">
        <f t="shared" si="1"/>
        <v/>
      </c>
      <c r="D20" s="75" t="str">
        <f t="shared" si="2"/>
        <v/>
      </c>
      <c r="E20" s="75" t="str">
        <f t="shared" si="3"/>
        <v/>
      </c>
      <c r="F20" s="38"/>
      <c r="G20" s="35"/>
      <c r="H20" s="76"/>
      <c r="I20" s="84"/>
    </row>
    <row r="21">
      <c r="A21" s="74"/>
      <c r="C21" s="75" t="str">
        <f t="shared" si="1"/>
        <v/>
      </c>
      <c r="D21" s="75" t="str">
        <f t="shared" si="2"/>
        <v/>
      </c>
      <c r="E21" s="75" t="str">
        <f t="shared" si="3"/>
        <v/>
      </c>
      <c r="F21" s="38"/>
      <c r="G21" s="35"/>
      <c r="H21" s="76"/>
      <c r="I21" s="84"/>
    </row>
    <row r="22">
      <c r="A22" s="74"/>
      <c r="C22" s="75" t="str">
        <f t="shared" si="1"/>
        <v/>
      </c>
      <c r="D22" s="75" t="str">
        <f t="shared" si="2"/>
        <v/>
      </c>
      <c r="E22" s="75" t="str">
        <f t="shared" si="3"/>
        <v/>
      </c>
      <c r="F22" s="38"/>
      <c r="G22" s="35"/>
      <c r="H22" s="76"/>
      <c r="I22" s="84"/>
    </row>
    <row r="23">
      <c r="A23" s="74"/>
      <c r="C23" s="75" t="str">
        <f t="shared" si="1"/>
        <v/>
      </c>
      <c r="D23" s="75" t="str">
        <f t="shared" si="2"/>
        <v/>
      </c>
      <c r="E23" s="75" t="str">
        <f t="shared" si="3"/>
        <v/>
      </c>
      <c r="F23" s="38"/>
      <c r="G23" s="35"/>
      <c r="H23" s="76"/>
      <c r="I23" s="84"/>
    </row>
    <row r="24">
      <c r="A24" s="74"/>
      <c r="C24" s="75" t="str">
        <f t="shared" si="1"/>
        <v/>
      </c>
      <c r="D24" s="75" t="str">
        <f t="shared" si="2"/>
        <v/>
      </c>
      <c r="E24" s="75" t="str">
        <f t="shared" si="3"/>
        <v/>
      </c>
      <c r="F24" s="38"/>
      <c r="G24" s="35"/>
      <c r="H24" s="76"/>
      <c r="I24" s="84"/>
    </row>
    <row r="25">
      <c r="A25" s="74"/>
      <c r="C25" s="75" t="str">
        <f t="shared" si="1"/>
        <v/>
      </c>
      <c r="D25" s="75" t="str">
        <f t="shared" si="2"/>
        <v/>
      </c>
      <c r="E25" s="75" t="str">
        <f t="shared" si="3"/>
        <v/>
      </c>
      <c r="F25" s="38"/>
      <c r="G25" s="35"/>
      <c r="H25" s="76"/>
      <c r="I25" s="84"/>
    </row>
    <row r="26">
      <c r="A26" s="74"/>
      <c r="C26" s="75" t="str">
        <f t="shared" si="1"/>
        <v/>
      </c>
      <c r="D26" s="75" t="str">
        <f t="shared" si="2"/>
        <v/>
      </c>
      <c r="E26" s="75" t="str">
        <f t="shared" si="3"/>
        <v/>
      </c>
      <c r="F26" s="38"/>
      <c r="G26" s="35"/>
      <c r="H26" s="76"/>
      <c r="I26" s="84"/>
    </row>
    <row r="27">
      <c r="A27" s="74"/>
      <c r="C27" s="75" t="str">
        <f t="shared" si="1"/>
        <v/>
      </c>
      <c r="D27" s="75" t="str">
        <f t="shared" si="2"/>
        <v/>
      </c>
      <c r="E27" s="75" t="str">
        <f t="shared" si="3"/>
        <v/>
      </c>
      <c r="F27" s="38"/>
      <c r="G27" s="35"/>
      <c r="H27" s="76"/>
      <c r="I27" s="84"/>
    </row>
    <row r="28">
      <c r="A28" s="74"/>
      <c r="C28" s="75" t="str">
        <f t="shared" si="1"/>
        <v/>
      </c>
      <c r="D28" s="75" t="str">
        <f t="shared" si="2"/>
        <v/>
      </c>
      <c r="E28" s="75" t="str">
        <f t="shared" si="3"/>
        <v/>
      </c>
      <c r="F28" s="38"/>
      <c r="G28" s="35"/>
      <c r="H28" s="76"/>
      <c r="I28" s="84"/>
    </row>
    <row r="29">
      <c r="A29" s="74"/>
      <c r="C29" s="75" t="str">
        <f t="shared" si="1"/>
        <v/>
      </c>
      <c r="D29" s="75" t="str">
        <f t="shared" si="2"/>
        <v/>
      </c>
      <c r="E29" s="75" t="str">
        <f t="shared" si="3"/>
        <v/>
      </c>
      <c r="F29" s="38"/>
      <c r="G29" s="35"/>
      <c r="H29" s="76"/>
      <c r="I29" s="84"/>
    </row>
    <row r="30">
      <c r="A30" s="74"/>
      <c r="C30" s="75" t="str">
        <f t="shared" si="1"/>
        <v/>
      </c>
      <c r="D30" s="75" t="str">
        <f t="shared" si="2"/>
        <v/>
      </c>
      <c r="E30" s="75" t="str">
        <f t="shared" si="3"/>
        <v/>
      </c>
      <c r="F30" s="38"/>
      <c r="G30" s="35"/>
      <c r="H30" s="76"/>
      <c r="I30" s="84"/>
    </row>
  </sheetData>
  <mergeCells count="1">
    <mergeCell ref="B3:B30"/>
  </mergeCells>
  <conditionalFormatting sqref="A2:A30">
    <cfRule type="expression" dxfId="0" priority="1">
      <formula>COUNTIF($A$2:$A30, A2) &gt; 1</formula>
    </cfRule>
  </conditionalFormatting>
  <dataValidations>
    <dataValidation type="list" allowBlank="1" showErrorMessage="1" sqref="B2">
      <formula1>"2,3,4"</formula1>
    </dataValidation>
  </dataValidations>
  <drawing r:id="rId1"/>
</worksheet>
</file>